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User\Documents\"/>
    </mc:Choice>
  </mc:AlternateContent>
  <xr:revisionPtr revIDLastSave="0" documentId="8_{34DA0A55-7DF6-48E6-89BF-F5FE38340C5E}"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 i="1" l="1"/>
  <c r="M8" i="1"/>
  <c r="M7" i="1"/>
  <c r="M6" i="1"/>
  <c r="M5" i="1"/>
  <c r="M23" i="2" a="1"/>
  <c r="M23" i="2" s="1"/>
  <c r="U16" i="1"/>
  <c r="Q16" i="2" l="1"/>
  <c r="P16" i="2"/>
  <c r="O16" i="2"/>
  <c r="L26" i="2"/>
  <c r="L22" i="2"/>
  <c r="L24" i="2" s="1"/>
  <c r="L19" i="2"/>
  <c r="L18" i="2"/>
  <c r="L15" i="2"/>
  <c r="L12" i="2"/>
  <c r="J92"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3" i="2"/>
  <c r="J94" i="2"/>
  <c r="J95" i="2"/>
  <c r="J96" i="2"/>
  <c r="J97" i="2"/>
  <c r="J98" i="2"/>
  <c r="J99" i="2"/>
  <c r="J5" i="2"/>
  <c r="K7" i="2"/>
  <c r="M66" i="1" l="1"/>
  <c r="M65" i="1"/>
  <c r="M64" i="1"/>
  <c r="M63" i="1"/>
  <c r="M62" i="1"/>
  <c r="M61" i="1"/>
  <c r="M60" i="1"/>
  <c r="M59" i="1"/>
  <c r="M58" i="1"/>
  <c r="M57" i="1"/>
  <c r="C29" i="2"/>
  <c r="C33" i="2"/>
  <c r="C44" i="2"/>
  <c r="C65" i="2"/>
  <c r="C50" i="2"/>
  <c r="C3" i="2"/>
  <c r="C12" i="2"/>
  <c r="C49" i="2"/>
  <c r="C58" i="2"/>
  <c r="C97" i="2"/>
  <c r="C23" i="2"/>
  <c r="C85" i="2"/>
  <c r="C60" i="2"/>
  <c r="C71" i="2"/>
  <c r="C20" i="2"/>
  <c r="C24" i="2"/>
  <c r="C27" i="2"/>
  <c r="C73" i="2"/>
  <c r="C53" i="2"/>
  <c r="C55" i="2"/>
  <c r="C82" i="2"/>
  <c r="C14" i="2"/>
  <c r="C18" i="2"/>
  <c r="C48" i="2"/>
  <c r="C75" i="2"/>
  <c r="C8" i="2"/>
  <c r="C21" i="2"/>
  <c r="C56" i="2"/>
  <c r="C74" i="2"/>
  <c r="C6" i="2"/>
  <c r="C11" i="2"/>
  <c r="C25" i="2"/>
  <c r="C37" i="2"/>
  <c r="C101" i="2"/>
  <c r="C52" i="2"/>
  <c r="C41" i="2"/>
  <c r="C51" i="2"/>
  <c r="C88" i="2"/>
  <c r="C13" i="2"/>
  <c r="C16" i="2"/>
  <c r="C46" i="2"/>
  <c r="C72" i="2"/>
  <c r="C31" i="2"/>
  <c r="C54" i="2"/>
  <c r="C100" i="2"/>
  <c r="C42" i="2"/>
  <c r="C59" i="2"/>
  <c r="C63" i="2"/>
  <c r="C78" i="2"/>
  <c r="C96" i="2"/>
  <c r="C15" i="2"/>
  <c r="C17" i="2"/>
  <c r="C30" i="2"/>
  <c r="C38" i="2"/>
  <c r="C66" i="2"/>
  <c r="C91" i="2"/>
  <c r="C98" i="2"/>
  <c r="C4" i="2"/>
  <c r="C19" i="2"/>
  <c r="C67" i="2"/>
  <c r="C77" i="2"/>
  <c r="C61" i="2"/>
  <c r="C68" i="2"/>
  <c r="C69" i="2"/>
  <c r="C80" i="2"/>
  <c r="C81" i="2"/>
  <c r="C5" i="2"/>
  <c r="C35" i="2"/>
  <c r="C93" i="2"/>
  <c r="C9" i="2"/>
  <c r="C26" i="2"/>
  <c r="C39" i="2"/>
  <c r="C47" i="2"/>
  <c r="C89" i="2"/>
  <c r="C99" i="2"/>
  <c r="C45" i="2"/>
  <c r="C84" i="2"/>
  <c r="C94" i="2"/>
  <c r="C34" i="2"/>
  <c r="C36" i="2"/>
  <c r="C62" i="2"/>
  <c r="C79" i="2"/>
  <c r="C32" i="2"/>
  <c r="C64" i="2"/>
  <c r="C70" i="2"/>
  <c r="C86" i="2"/>
  <c r="C2" i="2"/>
  <c r="C7" i="2"/>
  <c r="C10" i="2"/>
  <c r="C22" i="2"/>
  <c r="C28" i="2"/>
  <c r="C43" i="2"/>
  <c r="C90" i="2"/>
  <c r="C40" i="2"/>
  <c r="C76" i="2"/>
  <c r="C83" i="2"/>
  <c r="C92" i="2"/>
  <c r="C95" i="2"/>
  <c r="C57" i="2"/>
  <c r="C87" i="2"/>
  <c r="J3"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<sst xmlns="http://schemas.openxmlformats.org/spreadsheetml/2006/main" count="1165" uniqueCount="103">
  <si>
    <t>OrderID</t>
  </si>
  <si>
    <t>Date</t>
  </si>
  <si>
    <t>Product</t>
  </si>
  <si>
    <t>Category</t>
  </si>
  <si>
    <t>Region</t>
  </si>
  <si>
    <t>Sales</t>
  </si>
  <si>
    <t>Quantity</t>
  </si>
  <si>
    <t>Rep</t>
  </si>
  <si>
    <t>10/02/2024</t>
  </si>
  <si>
    <t>09/01/2024</t>
  </si>
  <si>
    <t>02/01/2024</t>
  </si>
  <si>
    <t>27/01/2024</t>
  </si>
  <si>
    <t>18/02/2024</t>
  </si>
  <si>
    <t>14/01/2024</t>
  </si>
  <si>
    <t>23/01/2024</t>
  </si>
  <si>
    <t>04/02/2024</t>
  </si>
  <si>
    <t>23/02/2024</t>
  </si>
  <si>
    <t>03/01/2024</t>
  </si>
  <si>
    <t>25/02/2024</t>
  </si>
  <si>
    <t>11/01/2024</t>
  </si>
  <si>
    <t>14/02/2024</t>
  </si>
  <si>
    <t>15/01/2024</t>
  </si>
  <si>
    <t>21/02/2024</t>
  </si>
  <si>
    <t>28/02/2024</t>
  </si>
  <si>
    <t>26/01/2024</t>
  </si>
  <si>
    <t>17/02/2024</t>
  </si>
  <si>
    <t>06/01/2024</t>
  </si>
  <si>
    <t>20/02/2024</t>
  </si>
  <si>
    <t>30/01/2024</t>
  </si>
  <si>
    <t>13/02/2024</t>
  </si>
  <si>
    <t>19/01/2024</t>
  </si>
  <si>
    <t>02/02/2024</t>
  </si>
  <si>
    <t>08/02/2024</t>
  </si>
  <si>
    <t>16/01/2024</t>
  </si>
  <si>
    <t>22/02/2024</t>
  </si>
  <si>
    <t>01/03/2024</t>
  </si>
  <si>
    <t>28/01/2024</t>
  </si>
  <si>
    <t>29/01/2024</t>
  </si>
  <si>
    <t>05/01/2024</t>
  </si>
  <si>
    <t>07/02/2024</t>
  </si>
  <si>
    <t>16/02/2024</t>
  </si>
  <si>
    <t>11/02/2024</t>
  </si>
  <si>
    <t>27/02/2024</t>
  </si>
  <si>
    <t>17/01/2024</t>
  </si>
  <si>
    <t>12/02/2024</t>
  </si>
  <si>
    <t>04/01/2024</t>
  </si>
  <si>
    <t>24/02/2024</t>
  </si>
  <si>
    <t>09/02/2024</t>
  </si>
  <si>
    <t>03/02/2024</t>
  </si>
  <si>
    <t>06/02/2024</t>
  </si>
  <si>
    <t>24/01/2024</t>
  </si>
  <si>
    <t>15/02/2024</t>
  </si>
  <si>
    <t>05/02/2024</t>
  </si>
  <si>
    <t>29/02/2024</t>
  </si>
  <si>
    <t>18/01/2024</t>
  </si>
  <si>
    <t>08/01/2024</t>
  </si>
  <si>
    <t>07/01/2024</t>
  </si>
  <si>
    <t>13/01/2024</t>
  </si>
  <si>
    <t>20/01/2024</t>
  </si>
  <si>
    <t>Mouse</t>
  </si>
  <si>
    <t>Keyboard</t>
  </si>
  <si>
    <t>Juice Pack</t>
  </si>
  <si>
    <t>Cake Mix</t>
  </si>
  <si>
    <t>Bread</t>
  </si>
  <si>
    <t>Rice Bag</t>
  </si>
  <si>
    <t>Yoghurt</t>
  </si>
  <si>
    <t>Laptop</t>
  </si>
  <si>
    <t>Phone</t>
  </si>
  <si>
    <t>Headphones</t>
  </si>
  <si>
    <t>Tech</t>
  </si>
  <si>
    <t>Grocery</t>
  </si>
  <si>
    <t>Lagos</t>
  </si>
  <si>
    <t>Abuja</t>
  </si>
  <si>
    <t>Kano</t>
  </si>
  <si>
    <t>Ibadan</t>
  </si>
  <si>
    <t>Grace</t>
  </si>
  <si>
    <t>Samuel</t>
  </si>
  <si>
    <t>Musa</t>
  </si>
  <si>
    <t>Aisha</t>
  </si>
  <si>
    <t>Yusuf</t>
  </si>
  <si>
    <t>Column1</t>
  </si>
  <si>
    <t>January</t>
  </si>
  <si>
    <t xml:space="preserve"> </t>
  </si>
  <si>
    <t>1. Top Five Highest Selling Transaction</t>
  </si>
  <si>
    <t>2. Lowest Quanties Sold</t>
  </si>
  <si>
    <t>Kano and Lagos with 30 quantities order</t>
  </si>
  <si>
    <r>
      <t xml:space="preserve">16. </t>
    </r>
    <r>
      <rPr>
        <b/>
        <sz val="14"/>
        <color theme="1"/>
        <rFont val="Calibri"/>
        <family val="2"/>
        <scheme val="minor"/>
      </rPr>
      <t>To find the rep responsible for earliest sales of LAPTOP we used xlookup formula to find the date i.e xlookup(Laptop as our lookup value,Product column as lookup array and date as return array) it gaves us date where earliest laptop was sold and we use xlookup to find responsible Rep.</t>
    </r>
  </si>
  <si>
    <r>
      <t xml:space="preserve">17. </t>
    </r>
    <r>
      <rPr>
        <b/>
        <sz val="14"/>
        <color theme="1"/>
        <rFont val="Calibri"/>
        <family val="2"/>
        <scheme val="minor"/>
      </rPr>
      <t xml:space="preserve">The sales amount for 10th row is N181,739 it was found using INDEX </t>
    </r>
  </si>
  <si>
    <r>
      <t xml:space="preserve">18. </t>
    </r>
    <r>
      <rPr>
        <b/>
        <sz val="14"/>
        <color theme="1"/>
        <rFont val="Calibri"/>
        <family val="2"/>
        <scheme val="minor"/>
      </rPr>
      <t>To pull the date of the first grocery transaction handled by grace, xlookup formula was used by combining Grace and Grocery as our lookup value and date as our return value.</t>
    </r>
  </si>
  <si>
    <r>
      <t xml:space="preserve">19. </t>
    </r>
    <r>
      <rPr>
        <b/>
        <sz val="14"/>
        <color theme="1"/>
        <rFont val="Calibri"/>
        <family val="2"/>
        <scheme val="minor"/>
      </rPr>
      <t>A random OrderID was picked (10104) and the Region(Abuja), Sales amount (N341,226) and Quantities sold was found using xlookup to find the value each.</t>
    </r>
  </si>
  <si>
    <r>
      <rPr>
        <sz val="12"/>
        <color theme="1"/>
        <rFont val="Calibri"/>
        <family val="2"/>
        <scheme val="minor"/>
      </rPr>
      <t>15.</t>
    </r>
    <r>
      <rPr>
        <b/>
        <sz val="14"/>
        <color theme="1"/>
        <rFont val="Calibri"/>
        <family val="2"/>
        <scheme val="minor"/>
      </rPr>
      <t xml:space="preserve"> Bread is found out to be highest selling rate product using xlookup and sorting</t>
    </r>
  </si>
  <si>
    <r>
      <rPr>
        <sz val="12"/>
        <color theme="1"/>
        <rFont val="Calibri"/>
        <family val="2"/>
        <scheme val="minor"/>
      </rPr>
      <t>14.</t>
    </r>
    <r>
      <rPr>
        <b/>
        <sz val="14"/>
        <color theme="1"/>
        <rFont val="Calibri"/>
        <family val="2"/>
        <scheme val="minor"/>
      </rPr>
      <t xml:space="preserve"> Quantity sold for OrderID 10172 is 12 using xlookup</t>
    </r>
  </si>
  <si>
    <r>
      <rPr>
        <sz val="12"/>
        <color theme="1"/>
        <rFont val="Calibri"/>
        <family val="2"/>
        <scheme val="minor"/>
      </rPr>
      <t>13.</t>
    </r>
    <r>
      <rPr>
        <b/>
        <sz val="14"/>
        <color theme="1"/>
        <rFont val="Calibri"/>
        <family val="2"/>
        <scheme val="minor"/>
      </rPr>
      <t xml:space="preserve"> Category for product keyboard is Tech it was found by using xlookup</t>
    </r>
  </si>
  <si>
    <r>
      <rPr>
        <sz val="12"/>
        <color theme="1"/>
        <rFont val="Calibri"/>
        <family val="2"/>
        <scheme val="minor"/>
      </rPr>
      <t>12.</t>
    </r>
    <r>
      <rPr>
        <b/>
        <sz val="12"/>
        <color theme="1"/>
        <rFont val="Calibri"/>
        <family val="2"/>
        <scheme val="minor"/>
      </rPr>
      <t xml:space="preserve"> </t>
    </r>
    <r>
      <rPr>
        <b/>
        <sz val="14"/>
        <color theme="1"/>
        <rFont val="Calibri"/>
        <family val="2"/>
        <scheme val="minor"/>
      </rPr>
      <t>We used xlookup and got Abuja after sorting our region</t>
    </r>
  </si>
  <si>
    <r>
      <rPr>
        <sz val="12"/>
        <color theme="1"/>
        <rFont val="Calibri"/>
        <family val="2"/>
        <scheme val="minor"/>
      </rPr>
      <t>11.</t>
    </r>
    <r>
      <rPr>
        <b/>
        <sz val="14"/>
        <color theme="1"/>
        <rFont val="Calibri"/>
        <family val="2"/>
        <scheme val="minor"/>
      </rPr>
      <t xml:space="preserve"> Sales Amount for OrderID 10125</t>
    </r>
  </si>
  <si>
    <r>
      <rPr>
        <sz val="12"/>
        <color theme="1"/>
        <rFont val="Calibri"/>
        <family val="2"/>
        <scheme val="minor"/>
      </rPr>
      <t>10.</t>
    </r>
    <r>
      <rPr>
        <b/>
        <sz val="14"/>
        <color theme="1"/>
        <rFont val="Calibri"/>
        <family val="2"/>
        <scheme val="minor"/>
      </rPr>
      <t xml:space="preserve"> Four Reps Sold Phone</t>
    </r>
  </si>
  <si>
    <r>
      <rPr>
        <sz val="12"/>
        <color theme="1"/>
        <rFont val="Calibri"/>
        <family val="2"/>
        <scheme val="minor"/>
      </rPr>
      <t>9.</t>
    </r>
    <r>
      <rPr>
        <b/>
        <sz val="14"/>
        <color theme="1"/>
        <rFont val="Calibri"/>
        <family val="2"/>
        <scheme val="minor"/>
      </rPr>
      <t xml:space="preserve"> Region with the highest Quantities Order</t>
    </r>
  </si>
  <si>
    <r>
      <rPr>
        <sz val="12"/>
        <color theme="1"/>
        <rFont val="Calibri"/>
        <family val="2"/>
        <scheme val="minor"/>
      </rPr>
      <t>8.</t>
    </r>
    <r>
      <rPr>
        <b/>
        <sz val="14"/>
        <color theme="1"/>
        <rFont val="Calibri"/>
        <family val="2"/>
        <scheme val="minor"/>
      </rPr>
      <t xml:space="preserve"> Mouse was the first product sold in the year</t>
    </r>
  </si>
  <si>
    <r>
      <rPr>
        <sz val="12"/>
        <color theme="1"/>
        <rFont val="Calibri"/>
        <family val="2"/>
        <scheme val="minor"/>
      </rPr>
      <t>7.</t>
    </r>
    <r>
      <rPr>
        <b/>
        <sz val="14"/>
        <color theme="1"/>
        <rFont val="Calibri"/>
        <family val="2"/>
        <scheme val="minor"/>
      </rPr>
      <t xml:space="preserve"> Samuel Appears the most in Grocery Sales</t>
    </r>
  </si>
  <si>
    <t>3. Number of Tech Order in Lagos</t>
  </si>
  <si>
    <t>4. Yusuf's Orders in January</t>
  </si>
  <si>
    <t>5. Number of Sales Greater than 100,000</t>
  </si>
  <si>
    <t>6. 10 Rows of 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</si>
</sst>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6A]#,##0.00"/>
    <numFmt numFmtId="165" formatCode="[$₦-46A]#,##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44" fontId="2" fillId="0" borderId="0" applyFont="0" applyFill="0" applyBorder="0" applyAlignment="0" applyProtection="0"/>
  </cellStyleXfs>
  <cellXfs count="33">
    <xf numFmtId="0" fontId="0" fillId="0" borderId="0" xfId="0"/>
    <xf numFmtId="0" fontId="1" fillId="0" borderId="2" xfId="0" applyFont="1" applyBorder="1" applyAlignment="1">
      <alignment horizontal="center" vertical="top"/>
    </xf>
    <xf numFmtId="0" fontId="0" fillId="3" borderId="3" xfId="0" applyFont="1" applyFill="1" applyBorder="1"/>
    <xf numFmtId="0" fontId="0" fillId="3" borderId="4" xfId="0" applyFont="1" applyFill="1" applyBorder="1"/>
    <xf numFmtId="0" fontId="0" fillId="3" borderId="5" xfId="0" applyFont="1" applyFill="1" applyBorder="1"/>
    <xf numFmtId="0" fontId="0" fillId="4" borderId="3" xfId="0" applyFont="1" applyFill="1" applyBorder="1"/>
    <xf numFmtId="0" fontId="0" fillId="4" borderId="4" xfId="0" applyFont="1" applyFill="1" applyBorder="1"/>
    <xf numFmtId="0" fontId="0" fillId="4" borderId="5" xfId="0" applyFont="1" applyFill="1" applyBorder="1"/>
    <xf numFmtId="0" fontId="0" fillId="3" borderId="6" xfId="0" applyFont="1" applyFill="1" applyBorder="1"/>
    <xf numFmtId="0" fontId="0" fillId="3" borderId="7" xfId="0" applyFont="1" applyFill="1" applyBorder="1"/>
    <xf numFmtId="0" fontId="0" fillId="3" borderId="8" xfId="0" applyFont="1" applyFill="1" applyBorder="1"/>
    <xf numFmtId="0" fontId="3" fillId="2" borderId="1" xfId="0" applyFont="1" applyFill="1" applyBorder="1" applyAlignment="1">
      <alignment horizontal="center" vertical="top"/>
    </xf>
    <xf numFmtId="44" fontId="3" fillId="2" borderId="1" xfId="1" applyNumberFormat="1" applyFont="1" applyFill="1" applyBorder="1" applyAlignment="1">
      <alignment horizontal="center" vertical="top"/>
    </xf>
    <xf numFmtId="0" fontId="5" fillId="0" borderId="0" xfId="0" applyFont="1"/>
    <xf numFmtId="14" fontId="0" fillId="0" borderId="0" xfId="0" applyNumberFormat="1"/>
    <xf numFmtId="14" fontId="0" fillId="3" borderId="4" xfId="0" applyNumberFormat="1" applyFont="1" applyFill="1" applyBorder="1"/>
    <xf numFmtId="14" fontId="0" fillId="4" borderId="4" xfId="0" applyNumberFormat="1" applyFont="1" applyFill="1" applyBorder="1"/>
    <xf numFmtId="14" fontId="0" fillId="3" borderId="7" xfId="0" applyNumberFormat="1" applyFont="1" applyFill="1" applyBorder="1"/>
    <xf numFmtId="164" fontId="1" fillId="0" borderId="2" xfId="1" applyNumberFormat="1" applyFont="1" applyBorder="1" applyAlignment="1">
      <alignment horizontal="center" vertical="top"/>
    </xf>
    <xf numFmtId="164" fontId="0" fillId="0" borderId="0" xfId="1" applyNumberFormat="1" applyFont="1"/>
    <xf numFmtId="164" fontId="0" fillId="0" borderId="0" xfId="0" applyNumberFormat="1"/>
    <xf numFmtId="165" fontId="1" fillId="0" borderId="2" xfId="1" applyNumberFormat="1" applyFont="1" applyBorder="1" applyAlignment="1">
      <alignment horizontal="center" vertical="top"/>
    </xf>
    <xf numFmtId="165" fontId="0" fillId="0" borderId="0" xfId="1" applyNumberFormat="1" applyFont="1"/>
    <xf numFmtId="165" fontId="0" fillId="0" borderId="0" xfId="0" applyNumberFormat="1"/>
    <xf numFmtId="165" fontId="3" fillId="2" borderId="1" xfId="1" applyNumberFormat="1" applyFont="1" applyFill="1" applyBorder="1" applyAlignment="1">
      <alignment horizontal="center" vertical="top"/>
    </xf>
    <xf numFmtId="165" fontId="0" fillId="3" borderId="4" xfId="1" applyNumberFormat="1" applyFont="1" applyFill="1" applyBorder="1"/>
    <xf numFmtId="165" fontId="0" fillId="4" borderId="4" xfId="1" applyNumberFormat="1" applyFont="1" applyFill="1" applyBorder="1"/>
    <xf numFmtId="0" fontId="4" fillId="0" borderId="0" xfId="0" applyFont="1"/>
    <xf numFmtId="164" fontId="0" fillId="3" borderId="4" xfId="1" applyNumberFormat="1" applyFont="1" applyFill="1" applyBorder="1"/>
    <xf numFmtId="164" fontId="3" fillId="2" borderId="1" xfId="1" applyNumberFormat="1" applyFont="1" applyFill="1" applyBorder="1" applyAlignment="1">
      <alignment horizontal="center" vertical="top"/>
    </xf>
    <xf numFmtId="164" fontId="0" fillId="4" borderId="4" xfId="1" applyNumberFormat="1" applyFont="1" applyFill="1" applyBorder="1"/>
    <xf numFmtId="164" fontId="0" fillId="3" borderId="7" xfId="1" applyNumberFormat="1" applyFont="1" applyFill="1" applyBorder="1"/>
    <xf numFmtId="0" fontId="1" fillId="0" borderId="0" xfId="0" applyFont="1"/>
  </cellXfs>
  <cellStyles count="2">
    <cellStyle name="Currency" xfId="1" builtinId="4"/>
    <cellStyle name="Normal" xfId="0" builtinId="0"/>
  </cellStyles>
  <dxfs count="9">
    <dxf>
      <font>
        <b val="0"/>
        <i val="0"/>
        <strike val="0"/>
        <condense val="0"/>
        <extend val="0"/>
        <outline val="0"/>
        <shadow val="0"/>
        <u val="none"/>
        <vertAlign val="baseline"/>
        <sz val="11"/>
        <color theme="1"/>
        <name val="Calibri"/>
        <family val="2"/>
        <scheme val="minor"/>
      </font>
      <numFmt numFmtId="165" formatCode="[$₦-46A]#,##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4" formatCode="[$₦-46A]#,##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A7781D-0C24-488E-ADF8-BB55E18E71C7}" name="AssignmentTable" displayName="AssignmentTable" ref="A1:H101" totalsRowShown="0" headerRowDxfId="8" headerRowBorderDxfId="7" tableBorderDxfId="6">
  <autoFilter ref="A1:H101" xr:uid="{38A7781D-0C24-488E-ADF8-BB55E18E71C7}"/>
  <sortState xmlns:xlrd2="http://schemas.microsoft.com/office/spreadsheetml/2017/richdata2" ref="A2:H101">
    <sortCondition descending="1" ref="F1:F101"/>
  </sortState>
  <tableColumns count="8">
    <tableColumn id="1" xr3:uid="{94C3D938-075F-4A41-A7AE-AAFA88B675CE}" name="OrderID"/>
    <tableColumn id="2" xr3:uid="{EA155154-AD33-44D3-A6CF-7C44EC13AEAD}" name="Date"/>
    <tableColumn id="3" xr3:uid="{12C8C756-CF1B-424E-AF5C-D42ED4D778BE}" name="Product"/>
    <tableColumn id="4" xr3:uid="{D96F7643-0549-4548-9CD0-FFD29A412579}" name="Category"/>
    <tableColumn id="5" xr3:uid="{EBC5A0C4-91D2-4419-8540-B5DB6F22E0DC}" name="Region"/>
    <tableColumn id="6" xr3:uid="{12E8DC55-BB13-4131-804F-45223C26B294}" name="Sales" dataDxfId="5" dataCellStyle="Currency"/>
    <tableColumn id="7" xr3:uid="{3B079028-035D-4453-83D5-A8377792E9C6}" name="Quantity"/>
    <tableColumn id="8" xr3:uid="{733CFF9A-24AF-4E18-8DD7-8491962BCFB4}" name="Rep"/>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1DE637-6D13-47C7-810A-AC0296DC0DE3}" name="AssignmentTable3" displayName="AssignmentTable3" ref="A1:I101" totalsRowShown="0" headerRowDxfId="4" headerRowBorderDxfId="3" tableBorderDxfId="2">
  <autoFilter ref="A1:I101" xr:uid="{871DE637-6D13-47C7-810A-AC0296DC0DE3}">
    <filterColumn colId="6">
      <top10 val="5" filterVal="336548"/>
    </filterColumn>
  </autoFilter>
  <sortState xmlns:xlrd2="http://schemas.microsoft.com/office/spreadsheetml/2017/richdata2" ref="A2:I101">
    <sortCondition descending="1" ref="G1:G101"/>
  </sortState>
  <tableColumns count="9">
    <tableColumn id="1" xr3:uid="{4EF4691B-1F3E-4E96-8C3C-4CF778323F72}" name="OrderID"/>
    <tableColumn id="2" xr3:uid="{0D11F3B4-60ED-4BA3-9813-A1E0C16F9565}" name="Date"/>
    <tableColumn id="9" xr3:uid="{D84AB8D5-A127-4F3A-B96E-2E3E5D7BDC06}" name="Column1" dataDxfId="1">
      <calculatedColumnFormula>TEXT(AssignmentTable3[[#This Row],[Date]],"mmmm")</calculatedColumnFormula>
    </tableColumn>
    <tableColumn id="3" xr3:uid="{C41A7D6C-5F27-4A5B-AF20-DD39320232C2}" name="Product"/>
    <tableColumn id="4" xr3:uid="{DB192EA1-2A6D-4E54-8007-2B24DD353F8B}" name="Category"/>
    <tableColumn id="5" xr3:uid="{B3BBBB9F-5E76-4E3B-B798-C53A156E7028}" name="Region"/>
    <tableColumn id="6" xr3:uid="{BD0C3E0F-0F88-45A1-A917-F1BAF7683BE7}" name="Sales" dataDxfId="0" dataCellStyle="Currency"/>
    <tableColumn id="7" xr3:uid="{D41BFD99-0345-439F-9A83-2C16F8B096AB}" name="Quantity"/>
    <tableColumn id="8" xr3:uid="{FB3D7BC4-ACC0-4AC4-8FB5-E85D626EE872}" name="Re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1"/>
  <sheetViews>
    <sheetView tabSelected="1" zoomScaleNormal="100" workbookViewId="0">
      <selection activeCell="S34" sqref="S34"/>
    </sheetView>
  </sheetViews>
  <sheetFormatPr defaultRowHeight="14.4" x14ac:dyDescent="0.3"/>
  <cols>
    <col min="1" max="1" width="13" customWidth="1"/>
    <col min="2" max="2" width="13.88671875" customWidth="1"/>
    <col min="3" max="3" width="9.5546875" customWidth="1"/>
    <col min="4" max="4" width="10.44140625" customWidth="1"/>
    <col min="6" max="6" width="12.109375" style="19" bestFit="1" customWidth="1"/>
    <col min="7" max="7" width="10.21875" customWidth="1"/>
    <col min="12" max="12" width="12.21875" customWidth="1"/>
    <col min="16" max="16" width="13.33203125" customWidth="1"/>
    <col min="17" max="17" width="14.77734375" customWidth="1"/>
  </cols>
  <sheetData>
    <row r="1" spans="1:21" x14ac:dyDescent="0.3">
      <c r="A1" s="1" t="s">
        <v>0</v>
      </c>
      <c r="B1" s="1" t="s">
        <v>1</v>
      </c>
      <c r="C1" s="1" t="s">
        <v>2</v>
      </c>
      <c r="D1" s="1" t="s">
        <v>3</v>
      </c>
      <c r="E1" s="1" t="s">
        <v>4</v>
      </c>
      <c r="F1" s="18" t="s">
        <v>5</v>
      </c>
      <c r="G1" s="1" t="s">
        <v>6</v>
      </c>
      <c r="H1" s="1" t="s">
        <v>7</v>
      </c>
    </row>
    <row r="2" spans="1:21" ht="18" x14ac:dyDescent="0.35">
      <c r="A2">
        <v>10187</v>
      </c>
      <c r="B2" t="s">
        <v>35</v>
      </c>
      <c r="C2" t="s">
        <v>63</v>
      </c>
      <c r="D2" t="s">
        <v>70</v>
      </c>
      <c r="E2" t="s">
        <v>74</v>
      </c>
      <c r="F2" s="19">
        <v>348306</v>
      </c>
      <c r="G2">
        <v>28</v>
      </c>
      <c r="H2" t="s">
        <v>76</v>
      </c>
      <c r="K2" s="13" t="s">
        <v>83</v>
      </c>
      <c r="U2" s="13" t="s">
        <v>98</v>
      </c>
    </row>
    <row r="3" spans="1:21" x14ac:dyDescent="0.3">
      <c r="A3">
        <v>10193</v>
      </c>
      <c r="B3" t="s">
        <v>31</v>
      </c>
      <c r="C3" t="s">
        <v>65</v>
      </c>
      <c r="D3" t="s">
        <v>70</v>
      </c>
      <c r="E3" t="s">
        <v>72</v>
      </c>
      <c r="F3" s="19">
        <v>345927</v>
      </c>
      <c r="G3">
        <v>3</v>
      </c>
      <c r="H3" t="s">
        <v>79</v>
      </c>
    </row>
    <row r="4" spans="1:21" ht="18" x14ac:dyDescent="0.35">
      <c r="A4">
        <v>10156</v>
      </c>
      <c r="B4" t="s">
        <v>47</v>
      </c>
      <c r="C4" t="s">
        <v>59</v>
      </c>
      <c r="D4" t="s">
        <v>69</v>
      </c>
      <c r="E4" t="s">
        <v>73</v>
      </c>
      <c r="F4" s="19">
        <v>345152</v>
      </c>
      <c r="G4">
        <v>19</v>
      </c>
      <c r="H4" t="s">
        <v>77</v>
      </c>
      <c r="K4" s="11" t="s">
        <v>0</v>
      </c>
      <c r="L4" s="11" t="s">
        <v>1</v>
      </c>
      <c r="M4" s="11" t="s">
        <v>80</v>
      </c>
      <c r="N4" s="11" t="s">
        <v>2</v>
      </c>
      <c r="O4" s="11" t="s">
        <v>3</v>
      </c>
      <c r="P4" s="11" t="s">
        <v>4</v>
      </c>
      <c r="Q4" s="24" t="s">
        <v>5</v>
      </c>
      <c r="R4" s="11" t="s">
        <v>6</v>
      </c>
      <c r="S4" s="11" t="s">
        <v>7</v>
      </c>
      <c r="U4" s="13" t="s">
        <v>97</v>
      </c>
    </row>
    <row r="5" spans="1:21" x14ac:dyDescent="0.3">
      <c r="A5">
        <v>10104</v>
      </c>
      <c r="B5" t="s">
        <v>10</v>
      </c>
      <c r="C5" t="s">
        <v>60</v>
      </c>
      <c r="D5" t="s">
        <v>69</v>
      </c>
      <c r="E5" t="s">
        <v>72</v>
      </c>
      <c r="F5" s="19">
        <v>341226</v>
      </c>
      <c r="G5">
        <v>23</v>
      </c>
      <c r="H5" t="s">
        <v>77</v>
      </c>
      <c r="K5" s="2">
        <v>10187</v>
      </c>
      <c r="L5" s="15">
        <v>45352</v>
      </c>
      <c r="M5" s="15" t="str">
        <f>TEXT(AssignmentTable3[[#This Row],[Date]],"mmmm")</f>
        <v>January</v>
      </c>
      <c r="N5" s="3" t="s">
        <v>63</v>
      </c>
      <c r="O5" s="3" t="s">
        <v>70</v>
      </c>
      <c r="P5" s="3" t="s">
        <v>74</v>
      </c>
      <c r="Q5" s="25">
        <v>348306</v>
      </c>
      <c r="R5" s="3">
        <v>28</v>
      </c>
      <c r="S5" s="4" t="s">
        <v>76</v>
      </c>
    </row>
    <row r="6" spans="1:21" ht="18" x14ac:dyDescent="0.35">
      <c r="A6">
        <v>10125</v>
      </c>
      <c r="B6" t="s">
        <v>29</v>
      </c>
      <c r="C6" t="s">
        <v>59</v>
      </c>
      <c r="D6" t="s">
        <v>69</v>
      </c>
      <c r="E6" t="s">
        <v>74</v>
      </c>
      <c r="F6" s="19">
        <v>336548</v>
      </c>
      <c r="G6">
        <v>11</v>
      </c>
      <c r="H6" t="s">
        <v>76</v>
      </c>
      <c r="K6" s="5">
        <v>10193</v>
      </c>
      <c r="L6" s="16">
        <v>45324</v>
      </c>
      <c r="M6" s="16" t="str">
        <f>TEXT(AssignmentTable3[[#This Row],[Date]],"mmmm")</f>
        <v>February</v>
      </c>
      <c r="N6" s="6" t="s">
        <v>65</v>
      </c>
      <c r="O6" s="6" t="s">
        <v>70</v>
      </c>
      <c r="P6" s="6" t="s">
        <v>72</v>
      </c>
      <c r="Q6" s="26">
        <v>345927</v>
      </c>
      <c r="R6" s="6">
        <v>3</v>
      </c>
      <c r="S6" s="7" t="s">
        <v>79</v>
      </c>
      <c r="U6" s="13" t="s">
        <v>96</v>
      </c>
    </row>
    <row r="7" spans="1:21" x14ac:dyDescent="0.3">
      <c r="A7">
        <v>10166</v>
      </c>
      <c r="B7" t="s">
        <v>13</v>
      </c>
      <c r="C7" t="s">
        <v>63</v>
      </c>
      <c r="D7" t="s">
        <v>70</v>
      </c>
      <c r="E7" t="s">
        <v>72</v>
      </c>
      <c r="F7" s="19">
        <v>333023</v>
      </c>
      <c r="G7">
        <v>28</v>
      </c>
      <c r="H7" t="s">
        <v>79</v>
      </c>
      <c r="K7" s="2">
        <v>10156</v>
      </c>
      <c r="L7" s="15">
        <v>45331</v>
      </c>
      <c r="M7" s="15" t="str">
        <f>TEXT(AssignmentTable3[[#This Row],[Date]],"mmmm")</f>
        <v>January</v>
      </c>
      <c r="N7" s="3" t="s">
        <v>59</v>
      </c>
      <c r="O7" s="3" t="s">
        <v>69</v>
      </c>
      <c r="P7" s="3" t="s">
        <v>73</v>
      </c>
      <c r="Q7" s="25">
        <v>345152</v>
      </c>
      <c r="R7" s="3">
        <v>19</v>
      </c>
      <c r="S7" s="4" t="s">
        <v>77</v>
      </c>
      <c r="U7" t="s">
        <v>85</v>
      </c>
    </row>
    <row r="8" spans="1:21" x14ac:dyDescent="0.3">
      <c r="A8">
        <v>10127</v>
      </c>
      <c r="B8" t="s">
        <v>31</v>
      </c>
      <c r="C8" t="s">
        <v>62</v>
      </c>
      <c r="D8" t="s">
        <v>70</v>
      </c>
      <c r="E8" t="s">
        <v>71</v>
      </c>
      <c r="F8" s="19">
        <v>328337</v>
      </c>
      <c r="G8">
        <v>10</v>
      </c>
      <c r="H8" t="s">
        <v>77</v>
      </c>
      <c r="K8" s="5">
        <v>10104</v>
      </c>
      <c r="L8" s="16">
        <v>45293</v>
      </c>
      <c r="M8" s="16" t="str">
        <f>TEXT(AssignmentTable3[[#This Row],[Date]],"mmmm")</f>
        <v>February</v>
      </c>
      <c r="N8" s="6" t="s">
        <v>60</v>
      </c>
      <c r="O8" s="6" t="s">
        <v>69</v>
      </c>
      <c r="P8" s="6" t="s">
        <v>72</v>
      </c>
      <c r="Q8" s="26">
        <v>341226</v>
      </c>
      <c r="R8" s="6">
        <v>23</v>
      </c>
      <c r="S8" s="7" t="s">
        <v>77</v>
      </c>
    </row>
    <row r="9" spans="1:21" ht="18" x14ac:dyDescent="0.35">
      <c r="A9">
        <v>10174</v>
      </c>
      <c r="B9" t="s">
        <v>14</v>
      </c>
      <c r="C9" t="s">
        <v>60</v>
      </c>
      <c r="D9" t="s">
        <v>69</v>
      </c>
      <c r="E9" t="s">
        <v>73</v>
      </c>
      <c r="F9" s="19">
        <v>325905</v>
      </c>
      <c r="G9">
        <v>24</v>
      </c>
      <c r="H9" t="s">
        <v>75</v>
      </c>
      <c r="K9" s="2">
        <v>10125</v>
      </c>
      <c r="L9" s="15">
        <v>45335</v>
      </c>
      <c r="M9" s="15" t="str">
        <f>TEXT(AssignmentTable3[[#This Row],[Date]],"mmmm")</f>
        <v>January</v>
      </c>
      <c r="N9" s="3" t="s">
        <v>59</v>
      </c>
      <c r="O9" s="3" t="s">
        <v>69</v>
      </c>
      <c r="P9" s="3" t="s">
        <v>74</v>
      </c>
      <c r="Q9" s="25">
        <v>336548</v>
      </c>
      <c r="R9" s="3">
        <v>11</v>
      </c>
      <c r="S9" s="4" t="s">
        <v>76</v>
      </c>
      <c r="U9" s="13" t="s">
        <v>95</v>
      </c>
    </row>
    <row r="10" spans="1:21" x14ac:dyDescent="0.3">
      <c r="A10">
        <v>10196</v>
      </c>
      <c r="B10" t="s">
        <v>17</v>
      </c>
      <c r="C10" t="s">
        <v>61</v>
      </c>
      <c r="D10" t="s">
        <v>70</v>
      </c>
      <c r="E10" t="s">
        <v>73</v>
      </c>
      <c r="F10" s="19">
        <v>320983</v>
      </c>
      <c r="G10">
        <v>28</v>
      </c>
      <c r="H10" t="s">
        <v>76</v>
      </c>
      <c r="U10" t="s">
        <v>78</v>
      </c>
    </row>
    <row r="11" spans="1:21" x14ac:dyDescent="0.3">
      <c r="A11">
        <v>10129</v>
      </c>
      <c r="B11" t="s">
        <v>15</v>
      </c>
      <c r="C11" t="s">
        <v>60</v>
      </c>
      <c r="D11" t="s">
        <v>69</v>
      </c>
      <c r="E11" t="s">
        <v>71</v>
      </c>
      <c r="F11" s="19">
        <v>314519</v>
      </c>
      <c r="G11">
        <v>11</v>
      </c>
      <c r="H11" t="s">
        <v>78</v>
      </c>
      <c r="U11" t="s">
        <v>76</v>
      </c>
    </row>
    <row r="12" spans="1:21" ht="18" x14ac:dyDescent="0.35">
      <c r="A12">
        <v>10154</v>
      </c>
      <c r="B12" t="s">
        <v>46</v>
      </c>
      <c r="C12" t="s">
        <v>62</v>
      </c>
      <c r="D12" t="s">
        <v>70</v>
      </c>
      <c r="E12" t="s">
        <v>71</v>
      </c>
      <c r="F12" s="19">
        <v>312469</v>
      </c>
      <c r="G12">
        <v>3</v>
      </c>
      <c r="H12" t="s">
        <v>75</v>
      </c>
      <c r="K12" s="13"/>
      <c r="U12" t="s">
        <v>79</v>
      </c>
    </row>
    <row r="13" spans="1:21" x14ac:dyDescent="0.3">
      <c r="A13">
        <v>10102</v>
      </c>
      <c r="B13" t="s">
        <v>9</v>
      </c>
      <c r="C13" t="s">
        <v>59</v>
      </c>
      <c r="D13" t="s">
        <v>69</v>
      </c>
      <c r="E13" t="s">
        <v>71</v>
      </c>
      <c r="F13" s="19">
        <v>310088</v>
      </c>
      <c r="G13">
        <v>14</v>
      </c>
      <c r="H13" t="s">
        <v>76</v>
      </c>
      <c r="K13" s="32" t="s">
        <v>84</v>
      </c>
      <c r="U13" t="s">
        <v>77</v>
      </c>
    </row>
    <row r="14" spans="1:21" x14ac:dyDescent="0.3">
      <c r="A14">
        <v>10105</v>
      </c>
      <c r="B14" t="s">
        <v>11</v>
      </c>
      <c r="C14" t="s">
        <v>61</v>
      </c>
      <c r="D14" t="s">
        <v>70</v>
      </c>
      <c r="E14" t="s">
        <v>73</v>
      </c>
      <c r="F14" s="19">
        <v>309444</v>
      </c>
      <c r="G14">
        <v>9</v>
      </c>
      <c r="H14" t="s">
        <v>76</v>
      </c>
      <c r="K14" s="11" t="s">
        <v>0</v>
      </c>
      <c r="L14" s="11" t="s">
        <v>1</v>
      </c>
      <c r="M14" s="11" t="s">
        <v>2</v>
      </c>
      <c r="N14" s="11" t="s">
        <v>3</v>
      </c>
      <c r="O14" s="11" t="s">
        <v>4</v>
      </c>
      <c r="P14" s="12" t="s">
        <v>5</v>
      </c>
      <c r="Q14" s="11" t="s">
        <v>6</v>
      </c>
      <c r="R14" s="11" t="s">
        <v>7</v>
      </c>
    </row>
    <row r="15" spans="1:21" ht="18" x14ac:dyDescent="0.35">
      <c r="A15">
        <v>10136</v>
      </c>
      <c r="B15" t="s">
        <v>38</v>
      </c>
      <c r="C15" t="s">
        <v>63</v>
      </c>
      <c r="D15" t="s">
        <v>70</v>
      </c>
      <c r="E15" t="s">
        <v>71</v>
      </c>
      <c r="F15" s="19">
        <v>308943</v>
      </c>
      <c r="G15">
        <v>18</v>
      </c>
      <c r="H15" t="s">
        <v>75</v>
      </c>
      <c r="K15" s="2">
        <v>10126</v>
      </c>
      <c r="L15" s="3" t="s">
        <v>30</v>
      </c>
      <c r="M15" s="3" t="s">
        <v>67</v>
      </c>
      <c r="N15" s="3" t="s">
        <v>69</v>
      </c>
      <c r="O15" s="3" t="s">
        <v>72</v>
      </c>
      <c r="P15" s="28">
        <v>238381</v>
      </c>
      <c r="Q15" s="3">
        <v>1</v>
      </c>
      <c r="R15" s="4" t="s">
        <v>79</v>
      </c>
      <c r="U15" s="13" t="s">
        <v>94</v>
      </c>
    </row>
    <row r="16" spans="1:21" x14ac:dyDescent="0.3">
      <c r="A16">
        <v>10120</v>
      </c>
      <c r="B16" t="s">
        <v>25</v>
      </c>
      <c r="C16" t="s">
        <v>60</v>
      </c>
      <c r="D16" t="s">
        <v>69</v>
      </c>
      <c r="E16" t="s">
        <v>74</v>
      </c>
      <c r="F16" s="19">
        <v>306991</v>
      </c>
      <c r="G16">
        <v>14</v>
      </c>
      <c r="H16" t="s">
        <v>77</v>
      </c>
      <c r="K16" s="5">
        <v>10185</v>
      </c>
      <c r="L16" s="6" t="s">
        <v>57</v>
      </c>
      <c r="M16" s="6" t="s">
        <v>68</v>
      </c>
      <c r="N16" s="6" t="s">
        <v>69</v>
      </c>
      <c r="O16" s="6" t="s">
        <v>71</v>
      </c>
      <c r="P16" s="28">
        <v>238381</v>
      </c>
      <c r="Q16" s="6">
        <v>1</v>
      </c>
      <c r="R16" s="7" t="s">
        <v>77</v>
      </c>
      <c r="U16" s="23">
        <f>VLOOKUP(10125,AssignmentTable3[#All],7,TRUE)</f>
        <v>336548</v>
      </c>
    </row>
    <row r="17" spans="1:21" x14ac:dyDescent="0.3">
      <c r="A17">
        <v>10171</v>
      </c>
      <c r="B17" t="s">
        <v>15</v>
      </c>
      <c r="C17" t="s">
        <v>66</v>
      </c>
      <c r="D17" t="s">
        <v>69</v>
      </c>
      <c r="E17" t="s">
        <v>74</v>
      </c>
      <c r="F17" s="19">
        <v>305902</v>
      </c>
      <c r="G17">
        <v>18</v>
      </c>
      <c r="H17" t="s">
        <v>75</v>
      </c>
      <c r="K17" s="2">
        <v>10149</v>
      </c>
      <c r="L17" s="3" t="s">
        <v>42</v>
      </c>
      <c r="M17" s="3" t="s">
        <v>66</v>
      </c>
      <c r="N17" s="3" t="s">
        <v>69</v>
      </c>
      <c r="O17" s="3" t="s">
        <v>72</v>
      </c>
      <c r="P17" s="28">
        <v>238381</v>
      </c>
      <c r="Q17" s="3">
        <v>1</v>
      </c>
      <c r="R17" s="4" t="s">
        <v>78</v>
      </c>
    </row>
    <row r="18" spans="1:21" ht="18" x14ac:dyDescent="0.35">
      <c r="A18">
        <v>10182</v>
      </c>
      <c r="B18" t="s">
        <v>55</v>
      </c>
      <c r="C18" t="s">
        <v>68</v>
      </c>
      <c r="D18" t="s">
        <v>69</v>
      </c>
      <c r="E18" t="s">
        <v>72</v>
      </c>
      <c r="F18" s="19">
        <v>304896</v>
      </c>
      <c r="G18">
        <v>9</v>
      </c>
      <c r="H18" t="s">
        <v>76</v>
      </c>
      <c r="K18" s="5">
        <v>10179</v>
      </c>
      <c r="L18" s="6" t="s">
        <v>14</v>
      </c>
      <c r="M18" s="6" t="s">
        <v>68</v>
      </c>
      <c r="N18" s="6" t="s">
        <v>69</v>
      </c>
      <c r="O18" s="6" t="s">
        <v>72</v>
      </c>
      <c r="P18" s="28">
        <v>238381</v>
      </c>
      <c r="Q18" s="6">
        <v>1</v>
      </c>
      <c r="R18" s="7" t="s">
        <v>75</v>
      </c>
      <c r="U18" s="27" t="s">
        <v>93</v>
      </c>
    </row>
    <row r="19" spans="1:21" x14ac:dyDescent="0.3">
      <c r="A19">
        <v>10155</v>
      </c>
      <c r="B19" t="s">
        <v>24</v>
      </c>
      <c r="C19" t="s">
        <v>59</v>
      </c>
      <c r="D19" t="s">
        <v>69</v>
      </c>
      <c r="E19" t="s">
        <v>72</v>
      </c>
      <c r="F19" s="19">
        <v>304020</v>
      </c>
      <c r="G19">
        <v>20</v>
      </c>
      <c r="H19" t="s">
        <v>76</v>
      </c>
    </row>
    <row r="20" spans="1:21" ht="18" x14ac:dyDescent="0.35">
      <c r="A20">
        <v>10110</v>
      </c>
      <c r="B20" t="s">
        <v>16</v>
      </c>
      <c r="C20" t="s">
        <v>64</v>
      </c>
      <c r="D20" t="s">
        <v>70</v>
      </c>
      <c r="E20" t="s">
        <v>74</v>
      </c>
      <c r="F20" s="19">
        <v>303198</v>
      </c>
      <c r="G20">
        <v>7</v>
      </c>
      <c r="H20" t="s">
        <v>76</v>
      </c>
      <c r="U20" s="13" t="s">
        <v>92</v>
      </c>
    </row>
    <row r="21" spans="1:21" ht="18" x14ac:dyDescent="0.35">
      <c r="A21">
        <v>10163</v>
      </c>
      <c r="B21" t="s">
        <v>51</v>
      </c>
      <c r="C21" t="s">
        <v>68</v>
      </c>
      <c r="D21" t="s">
        <v>69</v>
      </c>
      <c r="E21" t="s">
        <v>71</v>
      </c>
      <c r="F21" s="19">
        <v>291271</v>
      </c>
      <c r="G21">
        <v>10</v>
      </c>
      <c r="H21" t="s">
        <v>76</v>
      </c>
      <c r="K21" s="13"/>
    </row>
    <row r="22" spans="1:21" ht="18" x14ac:dyDescent="0.35">
      <c r="A22">
        <v>10124</v>
      </c>
      <c r="B22" t="s">
        <v>28</v>
      </c>
      <c r="C22" t="s">
        <v>60</v>
      </c>
      <c r="D22" t="s">
        <v>69</v>
      </c>
      <c r="E22" t="s">
        <v>74</v>
      </c>
      <c r="F22" s="19">
        <v>290549</v>
      </c>
      <c r="G22">
        <v>28</v>
      </c>
      <c r="H22" t="s">
        <v>76</v>
      </c>
      <c r="K22" s="32" t="s">
        <v>99</v>
      </c>
      <c r="U22" s="13" t="s">
        <v>91</v>
      </c>
    </row>
    <row r="23" spans="1:21" x14ac:dyDescent="0.3">
      <c r="A23">
        <v>10146</v>
      </c>
      <c r="B23" t="s">
        <v>33</v>
      </c>
      <c r="C23" t="s">
        <v>59</v>
      </c>
      <c r="D23" t="s">
        <v>69</v>
      </c>
      <c r="E23" t="s">
        <v>73</v>
      </c>
      <c r="F23" s="19">
        <v>289028</v>
      </c>
      <c r="G23">
        <v>4</v>
      </c>
      <c r="H23" t="s">
        <v>76</v>
      </c>
      <c r="K23" s="11" t="s">
        <v>0</v>
      </c>
      <c r="L23" s="11" t="s">
        <v>1</v>
      </c>
      <c r="M23" s="11" t="s">
        <v>2</v>
      </c>
      <c r="N23" s="11" t="s">
        <v>3</v>
      </c>
      <c r="O23" s="11" t="s">
        <v>4</v>
      </c>
      <c r="P23" s="12" t="s">
        <v>5</v>
      </c>
      <c r="Q23" s="11" t="s">
        <v>6</v>
      </c>
      <c r="R23" s="11" t="s">
        <v>7</v>
      </c>
    </row>
    <row r="24" spans="1:21" ht="18" x14ac:dyDescent="0.35">
      <c r="A24">
        <v>10160</v>
      </c>
      <c r="B24" t="s">
        <v>49</v>
      </c>
      <c r="C24" t="s">
        <v>59</v>
      </c>
      <c r="D24" t="s">
        <v>69</v>
      </c>
      <c r="E24" t="s">
        <v>71</v>
      </c>
      <c r="F24" s="19">
        <v>282375</v>
      </c>
      <c r="G24">
        <v>7</v>
      </c>
      <c r="H24" t="s">
        <v>77</v>
      </c>
      <c r="K24" s="2">
        <v>10185</v>
      </c>
      <c r="L24" s="3" t="s">
        <v>57</v>
      </c>
      <c r="M24" s="3" t="s">
        <v>68</v>
      </c>
      <c r="N24" s="3" t="s">
        <v>69</v>
      </c>
      <c r="O24" s="3" t="s">
        <v>71</v>
      </c>
      <c r="P24" s="28">
        <v>229119</v>
      </c>
      <c r="Q24" s="3">
        <v>1</v>
      </c>
      <c r="R24" s="4" t="s">
        <v>77</v>
      </c>
      <c r="U24" s="13" t="s">
        <v>90</v>
      </c>
    </row>
    <row r="25" spans="1:21" x14ac:dyDescent="0.3">
      <c r="A25">
        <v>10181</v>
      </c>
      <c r="B25" t="s">
        <v>14</v>
      </c>
      <c r="C25" t="s">
        <v>60</v>
      </c>
      <c r="D25" t="s">
        <v>69</v>
      </c>
      <c r="E25" t="s">
        <v>73</v>
      </c>
      <c r="F25" s="19">
        <v>281631</v>
      </c>
      <c r="G25">
        <v>11</v>
      </c>
      <c r="H25" t="s">
        <v>76</v>
      </c>
      <c r="K25" s="5">
        <v>10138</v>
      </c>
      <c r="L25" s="6" t="s">
        <v>21</v>
      </c>
      <c r="M25" s="6" t="s">
        <v>59</v>
      </c>
      <c r="N25" s="6" t="s">
        <v>69</v>
      </c>
      <c r="O25" s="6" t="s">
        <v>71</v>
      </c>
      <c r="P25" s="28">
        <v>229119</v>
      </c>
      <c r="Q25" s="6">
        <v>3</v>
      </c>
      <c r="R25" s="7" t="s">
        <v>77</v>
      </c>
    </row>
    <row r="26" spans="1:21" ht="18" x14ac:dyDescent="0.35">
      <c r="A26">
        <v>10114</v>
      </c>
      <c r="B26" t="s">
        <v>20</v>
      </c>
      <c r="C26" t="s">
        <v>59</v>
      </c>
      <c r="D26" t="s">
        <v>69</v>
      </c>
      <c r="E26" t="s">
        <v>72</v>
      </c>
      <c r="F26" s="19">
        <v>280543</v>
      </c>
      <c r="G26">
        <v>24</v>
      </c>
      <c r="H26" t="s">
        <v>75</v>
      </c>
      <c r="K26" s="2">
        <v>10160</v>
      </c>
      <c r="L26" s="3" t="s">
        <v>49</v>
      </c>
      <c r="M26" s="3" t="s">
        <v>59</v>
      </c>
      <c r="N26" s="3" t="s">
        <v>69</v>
      </c>
      <c r="O26" s="3" t="s">
        <v>71</v>
      </c>
      <c r="P26" s="28">
        <v>229119</v>
      </c>
      <c r="Q26" s="3">
        <v>7</v>
      </c>
      <c r="R26" s="4" t="s">
        <v>77</v>
      </c>
      <c r="U26" t="s">
        <v>86</v>
      </c>
    </row>
    <row r="27" spans="1:21" x14ac:dyDescent="0.3">
      <c r="A27">
        <v>10148</v>
      </c>
      <c r="B27" t="s">
        <v>19</v>
      </c>
      <c r="C27" t="s">
        <v>67</v>
      </c>
      <c r="D27" t="s">
        <v>69</v>
      </c>
      <c r="E27" t="s">
        <v>73</v>
      </c>
      <c r="F27" s="19">
        <v>252870</v>
      </c>
      <c r="G27">
        <v>7</v>
      </c>
      <c r="H27" t="s">
        <v>78</v>
      </c>
      <c r="K27" s="5">
        <v>10101</v>
      </c>
      <c r="L27" s="6" t="s">
        <v>8</v>
      </c>
      <c r="M27" s="6" t="s">
        <v>59</v>
      </c>
      <c r="N27" s="6" t="s">
        <v>69</v>
      </c>
      <c r="O27" s="6" t="s">
        <v>71</v>
      </c>
      <c r="P27" s="28">
        <v>229119</v>
      </c>
      <c r="Q27" s="6">
        <v>8</v>
      </c>
      <c r="R27" s="7" t="s">
        <v>75</v>
      </c>
    </row>
    <row r="28" spans="1:21" ht="18" x14ac:dyDescent="0.35">
      <c r="A28">
        <v>10142</v>
      </c>
      <c r="B28" t="s">
        <v>14</v>
      </c>
      <c r="C28" t="s">
        <v>67</v>
      </c>
      <c r="D28" t="s">
        <v>69</v>
      </c>
      <c r="E28" t="s">
        <v>73</v>
      </c>
      <c r="F28" s="19">
        <v>245355</v>
      </c>
      <c r="G28">
        <v>28</v>
      </c>
      <c r="H28" t="s">
        <v>76</v>
      </c>
      <c r="K28" s="2">
        <v>10163</v>
      </c>
      <c r="L28" s="3" t="s">
        <v>51</v>
      </c>
      <c r="M28" s="3" t="s">
        <v>68</v>
      </c>
      <c r="N28" s="3" t="s">
        <v>69</v>
      </c>
      <c r="O28" s="3" t="s">
        <v>71</v>
      </c>
      <c r="P28" s="28">
        <v>229119</v>
      </c>
      <c r="Q28" s="3">
        <v>10</v>
      </c>
      <c r="R28" s="4" t="s">
        <v>76</v>
      </c>
      <c r="U28" t="s">
        <v>87</v>
      </c>
    </row>
    <row r="29" spans="1:21" x14ac:dyDescent="0.3">
      <c r="A29">
        <v>10126</v>
      </c>
      <c r="B29" t="s">
        <v>30</v>
      </c>
      <c r="C29" t="s">
        <v>67</v>
      </c>
      <c r="D29" t="s">
        <v>69</v>
      </c>
      <c r="E29" t="s">
        <v>72</v>
      </c>
      <c r="F29" s="19">
        <v>238381</v>
      </c>
      <c r="G29">
        <v>1</v>
      </c>
      <c r="H29" t="s">
        <v>79</v>
      </c>
      <c r="K29" s="5">
        <v>10129</v>
      </c>
      <c r="L29" s="6" t="s">
        <v>15</v>
      </c>
      <c r="M29" s="6" t="s">
        <v>60</v>
      </c>
      <c r="N29" s="6" t="s">
        <v>69</v>
      </c>
      <c r="O29" s="6" t="s">
        <v>71</v>
      </c>
      <c r="P29" s="28">
        <v>229119</v>
      </c>
      <c r="Q29" s="6">
        <v>11</v>
      </c>
      <c r="R29" s="7" t="s">
        <v>78</v>
      </c>
    </row>
    <row r="30" spans="1:21" ht="18" x14ac:dyDescent="0.35">
      <c r="A30">
        <v>10169</v>
      </c>
      <c r="B30" t="s">
        <v>8</v>
      </c>
      <c r="C30" t="s">
        <v>68</v>
      </c>
      <c r="D30" t="s">
        <v>69</v>
      </c>
      <c r="E30" t="s">
        <v>72</v>
      </c>
      <c r="F30" s="19">
        <v>232149</v>
      </c>
      <c r="G30">
        <v>18</v>
      </c>
      <c r="H30" t="s">
        <v>78</v>
      </c>
      <c r="K30" s="2">
        <v>10168</v>
      </c>
      <c r="L30" s="3" t="s">
        <v>16</v>
      </c>
      <c r="M30" s="3" t="s">
        <v>68</v>
      </c>
      <c r="N30" s="3" t="s">
        <v>69</v>
      </c>
      <c r="O30" s="3" t="s">
        <v>71</v>
      </c>
      <c r="P30" s="28">
        <v>229119</v>
      </c>
      <c r="Q30" s="3">
        <v>11</v>
      </c>
      <c r="R30" s="4" t="s">
        <v>75</v>
      </c>
      <c r="U30" t="s">
        <v>88</v>
      </c>
    </row>
    <row r="31" spans="1:21" x14ac:dyDescent="0.3">
      <c r="A31">
        <v>10192</v>
      </c>
      <c r="B31" t="s">
        <v>32</v>
      </c>
      <c r="C31" t="s">
        <v>63</v>
      </c>
      <c r="D31" t="s">
        <v>70</v>
      </c>
      <c r="E31" t="s">
        <v>73</v>
      </c>
      <c r="F31" s="19">
        <v>232123</v>
      </c>
      <c r="G31">
        <v>15</v>
      </c>
      <c r="H31" t="s">
        <v>75</v>
      </c>
      <c r="K31" s="5">
        <v>10123</v>
      </c>
      <c r="L31" s="6" t="s">
        <v>27</v>
      </c>
      <c r="M31" s="6" t="s">
        <v>67</v>
      </c>
      <c r="N31" s="6" t="s">
        <v>69</v>
      </c>
      <c r="O31" s="6" t="s">
        <v>71</v>
      </c>
      <c r="P31" s="28">
        <v>229119</v>
      </c>
      <c r="Q31" s="6">
        <v>13</v>
      </c>
      <c r="R31" s="7" t="s">
        <v>77</v>
      </c>
    </row>
    <row r="32" spans="1:21" ht="18" x14ac:dyDescent="0.35">
      <c r="A32">
        <v>10162</v>
      </c>
      <c r="B32" t="s">
        <v>50</v>
      </c>
      <c r="C32" t="s">
        <v>68</v>
      </c>
      <c r="D32" t="s">
        <v>69</v>
      </c>
      <c r="E32" t="s">
        <v>72</v>
      </c>
      <c r="F32" s="19">
        <v>230234</v>
      </c>
      <c r="G32">
        <v>27</v>
      </c>
      <c r="H32" t="s">
        <v>77</v>
      </c>
      <c r="K32" s="2">
        <v>10102</v>
      </c>
      <c r="L32" s="3" t="s">
        <v>9</v>
      </c>
      <c r="M32" s="3" t="s">
        <v>59</v>
      </c>
      <c r="N32" s="3" t="s">
        <v>69</v>
      </c>
      <c r="O32" s="3" t="s">
        <v>71</v>
      </c>
      <c r="P32" s="28">
        <v>229119</v>
      </c>
      <c r="Q32" s="3">
        <v>14</v>
      </c>
      <c r="R32" s="4" t="s">
        <v>76</v>
      </c>
      <c r="U32" t="s">
        <v>89</v>
      </c>
    </row>
    <row r="33" spans="1:19" x14ac:dyDescent="0.3">
      <c r="A33">
        <v>10185</v>
      </c>
      <c r="B33" t="s">
        <v>57</v>
      </c>
      <c r="C33" t="s">
        <v>68</v>
      </c>
      <c r="D33" t="s">
        <v>69</v>
      </c>
      <c r="E33" t="s">
        <v>71</v>
      </c>
      <c r="F33" s="19">
        <v>229119</v>
      </c>
      <c r="G33">
        <v>1</v>
      </c>
      <c r="H33" t="s">
        <v>77</v>
      </c>
      <c r="K33" s="5">
        <v>10122</v>
      </c>
      <c r="L33" s="6" t="s">
        <v>26</v>
      </c>
      <c r="M33" s="6" t="s">
        <v>66</v>
      </c>
      <c r="N33" s="6" t="s">
        <v>69</v>
      </c>
      <c r="O33" s="6" t="s">
        <v>71</v>
      </c>
      <c r="P33" s="28">
        <v>229119</v>
      </c>
      <c r="Q33" s="6">
        <v>21</v>
      </c>
      <c r="R33" s="7" t="s">
        <v>75</v>
      </c>
    </row>
    <row r="34" spans="1:19" x14ac:dyDescent="0.3">
      <c r="A34">
        <v>10191</v>
      </c>
      <c r="B34" t="s">
        <v>58</v>
      </c>
      <c r="C34" t="s">
        <v>68</v>
      </c>
      <c r="D34" t="s">
        <v>69</v>
      </c>
      <c r="E34" t="s">
        <v>72</v>
      </c>
      <c r="F34" s="19">
        <v>225885</v>
      </c>
      <c r="G34">
        <v>26</v>
      </c>
      <c r="H34" t="s">
        <v>77</v>
      </c>
      <c r="K34" s="2">
        <v>10143</v>
      </c>
      <c r="L34" s="3" t="s">
        <v>29</v>
      </c>
      <c r="M34" s="3" t="s">
        <v>59</v>
      </c>
      <c r="N34" s="3" t="s">
        <v>69</v>
      </c>
      <c r="O34" s="3" t="s">
        <v>71</v>
      </c>
      <c r="P34" s="28">
        <v>229119</v>
      </c>
      <c r="Q34" s="3">
        <v>24</v>
      </c>
      <c r="R34" s="4" t="s">
        <v>79</v>
      </c>
    </row>
    <row r="35" spans="1:19" x14ac:dyDescent="0.3">
      <c r="A35">
        <v>10150</v>
      </c>
      <c r="B35" t="s">
        <v>43</v>
      </c>
      <c r="C35" t="s">
        <v>65</v>
      </c>
      <c r="D35" t="s">
        <v>70</v>
      </c>
      <c r="E35" t="s">
        <v>74</v>
      </c>
      <c r="F35" s="19">
        <v>222277</v>
      </c>
      <c r="G35">
        <v>23</v>
      </c>
      <c r="H35" t="s">
        <v>77</v>
      </c>
      <c r="K35" s="5">
        <v>10170</v>
      </c>
      <c r="L35" s="6" t="s">
        <v>52</v>
      </c>
      <c r="M35" s="6" t="s">
        <v>66</v>
      </c>
      <c r="N35" s="6" t="s">
        <v>69</v>
      </c>
      <c r="O35" s="6" t="s">
        <v>71</v>
      </c>
      <c r="P35" s="28">
        <v>229119</v>
      </c>
      <c r="Q35" s="6">
        <v>29</v>
      </c>
      <c r="R35" s="7" t="s">
        <v>75</v>
      </c>
    </row>
    <row r="36" spans="1:19" x14ac:dyDescent="0.3">
      <c r="A36">
        <v>10176</v>
      </c>
      <c r="B36" t="s">
        <v>10</v>
      </c>
      <c r="C36" t="s">
        <v>62</v>
      </c>
      <c r="D36" t="s">
        <v>70</v>
      </c>
      <c r="E36" t="s">
        <v>74</v>
      </c>
      <c r="F36" s="19">
        <v>216356</v>
      </c>
      <c r="G36">
        <v>26</v>
      </c>
      <c r="H36" t="s">
        <v>75</v>
      </c>
      <c r="K36" s="8">
        <v>10147</v>
      </c>
      <c r="L36" s="9" t="s">
        <v>41</v>
      </c>
      <c r="M36" s="9" t="s">
        <v>60</v>
      </c>
      <c r="N36" s="9" t="s">
        <v>69</v>
      </c>
      <c r="O36" s="9" t="s">
        <v>71</v>
      </c>
      <c r="P36" s="28">
        <v>229119</v>
      </c>
      <c r="Q36" s="9">
        <v>30</v>
      </c>
      <c r="R36" s="10" t="s">
        <v>75</v>
      </c>
    </row>
    <row r="37" spans="1:19" x14ac:dyDescent="0.3">
      <c r="A37">
        <v>10188</v>
      </c>
      <c r="B37" t="s">
        <v>40</v>
      </c>
      <c r="C37" t="s">
        <v>68</v>
      </c>
      <c r="D37" t="s">
        <v>69</v>
      </c>
      <c r="E37" t="s">
        <v>74</v>
      </c>
      <c r="F37" s="19">
        <v>214615</v>
      </c>
      <c r="G37">
        <v>11</v>
      </c>
      <c r="H37" t="s">
        <v>78</v>
      </c>
    </row>
    <row r="38" spans="1:19" x14ac:dyDescent="0.3">
      <c r="A38">
        <v>10190</v>
      </c>
      <c r="B38" t="s">
        <v>29</v>
      </c>
      <c r="C38" t="s">
        <v>62</v>
      </c>
      <c r="D38" t="s">
        <v>70</v>
      </c>
      <c r="E38" t="s">
        <v>74</v>
      </c>
      <c r="F38" s="19">
        <v>213400</v>
      </c>
      <c r="G38">
        <v>18</v>
      </c>
      <c r="H38" t="s">
        <v>76</v>
      </c>
    </row>
    <row r="39" spans="1:19" ht="18" x14ac:dyDescent="0.35">
      <c r="A39">
        <v>10143</v>
      </c>
      <c r="B39" t="s">
        <v>29</v>
      </c>
      <c r="C39" t="s">
        <v>59</v>
      </c>
      <c r="D39" t="s">
        <v>69</v>
      </c>
      <c r="E39" t="s">
        <v>71</v>
      </c>
      <c r="F39" s="19">
        <v>211589</v>
      </c>
      <c r="G39">
        <v>24</v>
      </c>
      <c r="H39" t="s">
        <v>79</v>
      </c>
      <c r="K39" s="13" t="s">
        <v>100</v>
      </c>
    </row>
    <row r="40" spans="1:19" x14ac:dyDescent="0.3">
      <c r="A40">
        <v>10184</v>
      </c>
      <c r="B40" t="s">
        <v>36</v>
      </c>
      <c r="C40" t="s">
        <v>64</v>
      </c>
      <c r="D40" t="s">
        <v>70</v>
      </c>
      <c r="E40" t="s">
        <v>71</v>
      </c>
      <c r="F40" s="19">
        <v>202453</v>
      </c>
      <c r="G40">
        <v>29</v>
      </c>
      <c r="H40" t="s">
        <v>77</v>
      </c>
    </row>
    <row r="41" spans="1:19" x14ac:dyDescent="0.3">
      <c r="A41">
        <v>10123</v>
      </c>
      <c r="B41" t="s">
        <v>27</v>
      </c>
      <c r="C41" t="s">
        <v>67</v>
      </c>
      <c r="D41" t="s">
        <v>69</v>
      </c>
      <c r="E41" t="s">
        <v>71</v>
      </c>
      <c r="F41" s="19">
        <v>202228</v>
      </c>
      <c r="G41">
        <v>13</v>
      </c>
      <c r="H41" t="s">
        <v>77</v>
      </c>
      <c r="K41" s="11" t="s">
        <v>0</v>
      </c>
      <c r="L41" s="11" t="s">
        <v>1</v>
      </c>
      <c r="M41" s="11" t="s">
        <v>80</v>
      </c>
      <c r="N41" s="11" t="s">
        <v>2</v>
      </c>
      <c r="O41" s="11" t="s">
        <v>3</v>
      </c>
      <c r="P41" s="11" t="s">
        <v>4</v>
      </c>
      <c r="Q41" s="29" t="s">
        <v>5</v>
      </c>
      <c r="R41" s="11" t="s">
        <v>6</v>
      </c>
      <c r="S41" s="11" t="s">
        <v>7</v>
      </c>
    </row>
    <row r="42" spans="1:19" x14ac:dyDescent="0.3">
      <c r="A42">
        <v>10197</v>
      </c>
      <c r="B42" t="s">
        <v>28</v>
      </c>
      <c r="C42" t="s">
        <v>67</v>
      </c>
      <c r="D42" t="s">
        <v>69</v>
      </c>
      <c r="E42" t="s">
        <v>72</v>
      </c>
      <c r="F42" s="19">
        <v>201815</v>
      </c>
      <c r="G42">
        <v>16</v>
      </c>
      <c r="H42" t="s">
        <v>78</v>
      </c>
      <c r="K42" s="2">
        <v>10126</v>
      </c>
      <c r="L42" s="15">
        <v>45310</v>
      </c>
      <c r="M42" s="15" t="s">
        <v>81</v>
      </c>
      <c r="N42" s="3" t="s">
        <v>67</v>
      </c>
      <c r="O42" s="3" t="s">
        <v>69</v>
      </c>
      <c r="P42" s="3" t="s">
        <v>72</v>
      </c>
      <c r="Q42" s="28">
        <v>238381</v>
      </c>
      <c r="R42" s="3">
        <v>1</v>
      </c>
      <c r="S42" s="4" t="s">
        <v>79</v>
      </c>
    </row>
    <row r="43" spans="1:19" x14ac:dyDescent="0.3">
      <c r="A43">
        <v>10177</v>
      </c>
      <c r="B43" t="s">
        <v>54</v>
      </c>
      <c r="C43" t="s">
        <v>62</v>
      </c>
      <c r="D43" t="s">
        <v>70</v>
      </c>
      <c r="E43" t="s">
        <v>71</v>
      </c>
      <c r="F43" s="19">
        <v>201062</v>
      </c>
      <c r="G43">
        <v>28</v>
      </c>
      <c r="H43" t="s">
        <v>76</v>
      </c>
      <c r="K43" s="5">
        <v>10134</v>
      </c>
      <c r="L43" s="16">
        <v>45319</v>
      </c>
      <c r="M43" s="16" t="s">
        <v>81</v>
      </c>
      <c r="N43" s="6" t="s">
        <v>61</v>
      </c>
      <c r="O43" s="6" t="s">
        <v>70</v>
      </c>
      <c r="P43" s="6" t="s">
        <v>72</v>
      </c>
      <c r="Q43" s="30">
        <v>163929</v>
      </c>
      <c r="R43" s="6">
        <v>13</v>
      </c>
      <c r="S43" s="7" t="s">
        <v>79</v>
      </c>
    </row>
    <row r="44" spans="1:19" x14ac:dyDescent="0.3">
      <c r="A44">
        <v>10149</v>
      </c>
      <c r="B44" t="s">
        <v>42</v>
      </c>
      <c r="C44" t="s">
        <v>66</v>
      </c>
      <c r="D44" t="s">
        <v>69</v>
      </c>
      <c r="E44" t="s">
        <v>72</v>
      </c>
      <c r="F44" s="19">
        <v>199191</v>
      </c>
      <c r="G44">
        <v>1</v>
      </c>
      <c r="H44" t="s">
        <v>78</v>
      </c>
      <c r="K44" s="2">
        <v>10113</v>
      </c>
      <c r="L44" s="15">
        <v>45302</v>
      </c>
      <c r="M44" s="15" t="s">
        <v>81</v>
      </c>
      <c r="N44" s="3" t="s">
        <v>63</v>
      </c>
      <c r="O44" s="3" t="s">
        <v>70</v>
      </c>
      <c r="P44" s="3" t="s">
        <v>74</v>
      </c>
      <c r="Q44" s="28">
        <v>110342</v>
      </c>
      <c r="R44" s="3">
        <v>22</v>
      </c>
      <c r="S44" s="4" t="s">
        <v>79</v>
      </c>
    </row>
    <row r="45" spans="1:19" x14ac:dyDescent="0.3">
      <c r="A45">
        <v>10128</v>
      </c>
      <c r="B45" t="s">
        <v>32</v>
      </c>
      <c r="C45" t="s">
        <v>61</v>
      </c>
      <c r="D45" t="s">
        <v>70</v>
      </c>
      <c r="E45" t="s">
        <v>72</v>
      </c>
      <c r="F45" s="19">
        <v>196538</v>
      </c>
      <c r="G45">
        <v>25</v>
      </c>
      <c r="H45" t="s">
        <v>75</v>
      </c>
      <c r="K45" s="5">
        <v>10158</v>
      </c>
      <c r="L45" s="16">
        <v>45307</v>
      </c>
      <c r="M45" s="16" t="s">
        <v>81</v>
      </c>
      <c r="N45" s="6" t="s">
        <v>68</v>
      </c>
      <c r="O45" s="6" t="s">
        <v>69</v>
      </c>
      <c r="P45" s="6" t="s">
        <v>73</v>
      </c>
      <c r="Q45" s="30">
        <v>69117</v>
      </c>
      <c r="R45" s="6">
        <v>22</v>
      </c>
      <c r="S45" s="7" t="s">
        <v>79</v>
      </c>
    </row>
    <row r="46" spans="1:19" x14ac:dyDescent="0.3">
      <c r="A46">
        <v>10186</v>
      </c>
      <c r="B46" t="s">
        <v>53</v>
      </c>
      <c r="C46" t="s">
        <v>60</v>
      </c>
      <c r="D46" t="s">
        <v>69</v>
      </c>
      <c r="E46" t="s">
        <v>72</v>
      </c>
      <c r="F46" s="19">
        <v>191456</v>
      </c>
      <c r="G46">
        <v>14</v>
      </c>
      <c r="H46" t="s">
        <v>76</v>
      </c>
      <c r="K46" s="2">
        <v>10183</v>
      </c>
      <c r="L46" s="15">
        <v>45298</v>
      </c>
      <c r="M46" s="15" t="s">
        <v>81</v>
      </c>
      <c r="N46" s="3" t="s">
        <v>64</v>
      </c>
      <c r="O46" s="3" t="s">
        <v>70</v>
      </c>
      <c r="P46" s="3" t="s">
        <v>73</v>
      </c>
      <c r="Q46" s="28">
        <v>181739</v>
      </c>
      <c r="R46" s="3">
        <v>24</v>
      </c>
      <c r="S46" s="4" t="s">
        <v>79</v>
      </c>
    </row>
    <row r="47" spans="1:19" x14ac:dyDescent="0.3">
      <c r="A47">
        <v>10183</v>
      </c>
      <c r="B47" t="s">
        <v>56</v>
      </c>
      <c r="C47" t="s">
        <v>64</v>
      </c>
      <c r="D47" t="s">
        <v>70</v>
      </c>
      <c r="E47" t="s">
        <v>73</v>
      </c>
      <c r="F47" s="19">
        <v>181739</v>
      </c>
      <c r="G47">
        <v>24</v>
      </c>
      <c r="H47" t="s">
        <v>79</v>
      </c>
      <c r="K47" s="5">
        <v>10180</v>
      </c>
      <c r="L47" s="16">
        <v>45317</v>
      </c>
      <c r="M47" s="16" t="s">
        <v>81</v>
      </c>
      <c r="N47" s="6" t="s">
        <v>63</v>
      </c>
      <c r="O47" s="6" t="s">
        <v>70</v>
      </c>
      <c r="P47" s="6" t="s">
        <v>74</v>
      </c>
      <c r="Q47" s="30">
        <v>36896</v>
      </c>
      <c r="R47" s="6">
        <v>25</v>
      </c>
      <c r="S47" s="7" t="s">
        <v>79</v>
      </c>
    </row>
    <row r="48" spans="1:19" x14ac:dyDescent="0.3">
      <c r="A48">
        <v>10106</v>
      </c>
      <c r="B48" t="s">
        <v>12</v>
      </c>
      <c r="C48" t="s">
        <v>62</v>
      </c>
      <c r="D48" t="s">
        <v>70</v>
      </c>
      <c r="E48" t="s">
        <v>73</v>
      </c>
      <c r="F48" s="19">
        <v>178889</v>
      </c>
      <c r="G48">
        <v>9</v>
      </c>
      <c r="H48" t="s">
        <v>75</v>
      </c>
      <c r="K48" s="8">
        <v>10166</v>
      </c>
      <c r="L48" s="17">
        <v>45305</v>
      </c>
      <c r="M48" s="17" t="s">
        <v>81</v>
      </c>
      <c r="N48" s="9" t="s">
        <v>63</v>
      </c>
      <c r="O48" s="9" t="s">
        <v>70</v>
      </c>
      <c r="P48" s="9" t="s">
        <v>72</v>
      </c>
      <c r="Q48" s="31">
        <v>333023</v>
      </c>
      <c r="R48" s="9">
        <v>28</v>
      </c>
      <c r="S48" s="10" t="s">
        <v>79</v>
      </c>
    </row>
    <row r="49" spans="1:19" x14ac:dyDescent="0.3">
      <c r="A49">
        <v>10138</v>
      </c>
      <c r="B49" t="s">
        <v>21</v>
      </c>
      <c r="C49" t="s">
        <v>59</v>
      </c>
      <c r="D49" t="s">
        <v>69</v>
      </c>
      <c r="E49" t="s">
        <v>71</v>
      </c>
      <c r="F49" s="19">
        <v>173739</v>
      </c>
      <c r="G49">
        <v>3</v>
      </c>
      <c r="H49" t="s">
        <v>77</v>
      </c>
    </row>
    <row r="50" spans="1:19" x14ac:dyDescent="0.3">
      <c r="A50">
        <v>10152</v>
      </c>
      <c r="B50" t="s">
        <v>45</v>
      </c>
      <c r="C50" t="s">
        <v>64</v>
      </c>
      <c r="D50" t="s">
        <v>70</v>
      </c>
      <c r="E50" t="s">
        <v>71</v>
      </c>
      <c r="F50" s="19">
        <v>164919</v>
      </c>
      <c r="G50">
        <v>2</v>
      </c>
      <c r="H50" t="s">
        <v>76</v>
      </c>
    </row>
    <row r="51" spans="1:19" ht="18" x14ac:dyDescent="0.35">
      <c r="A51">
        <v>10134</v>
      </c>
      <c r="B51" t="s">
        <v>36</v>
      </c>
      <c r="C51" t="s">
        <v>61</v>
      </c>
      <c r="D51" t="s">
        <v>70</v>
      </c>
      <c r="E51" t="s">
        <v>72</v>
      </c>
      <c r="F51" s="19">
        <v>163929</v>
      </c>
      <c r="G51">
        <v>13</v>
      </c>
      <c r="H51" t="s">
        <v>79</v>
      </c>
      <c r="K51" s="13" t="s">
        <v>101</v>
      </c>
    </row>
    <row r="52" spans="1:19" x14ac:dyDescent="0.3">
      <c r="A52">
        <v>10172</v>
      </c>
      <c r="B52" t="s">
        <v>36</v>
      </c>
      <c r="C52" t="s">
        <v>62</v>
      </c>
      <c r="D52" t="s">
        <v>70</v>
      </c>
      <c r="E52" t="s">
        <v>71</v>
      </c>
      <c r="F52" s="19">
        <v>162116</v>
      </c>
      <c r="G52">
        <v>12</v>
      </c>
      <c r="H52" t="s">
        <v>76</v>
      </c>
      <c r="K52">
        <v>77</v>
      </c>
    </row>
    <row r="53" spans="1:19" x14ac:dyDescent="0.3">
      <c r="A53">
        <v>10130</v>
      </c>
      <c r="B53" t="s">
        <v>10</v>
      </c>
      <c r="C53" t="s">
        <v>59</v>
      </c>
      <c r="D53" t="s">
        <v>69</v>
      </c>
      <c r="E53" t="s">
        <v>74</v>
      </c>
      <c r="F53" s="19">
        <v>161725</v>
      </c>
      <c r="G53">
        <v>8</v>
      </c>
      <c r="H53" t="s">
        <v>76</v>
      </c>
    </row>
    <row r="54" spans="1:19" ht="18" x14ac:dyDescent="0.35">
      <c r="A54">
        <v>10112</v>
      </c>
      <c r="B54" t="s">
        <v>18</v>
      </c>
      <c r="C54" t="s">
        <v>59</v>
      </c>
      <c r="D54" t="s">
        <v>69</v>
      </c>
      <c r="E54" t="s">
        <v>73</v>
      </c>
      <c r="F54" s="19">
        <v>146238</v>
      </c>
      <c r="G54">
        <v>15</v>
      </c>
      <c r="H54" t="s">
        <v>79</v>
      </c>
      <c r="K54" s="13" t="s">
        <v>102</v>
      </c>
    </row>
    <row r="55" spans="1:19" x14ac:dyDescent="0.3">
      <c r="A55">
        <v>10101</v>
      </c>
      <c r="B55" t="s">
        <v>8</v>
      </c>
      <c r="C55" t="s">
        <v>59</v>
      </c>
      <c r="D55" t="s">
        <v>69</v>
      </c>
      <c r="E55" t="s">
        <v>71</v>
      </c>
      <c r="F55" s="19">
        <v>144694</v>
      </c>
      <c r="G55">
        <v>8</v>
      </c>
      <c r="H55" t="s">
        <v>75</v>
      </c>
    </row>
    <row r="56" spans="1:19" x14ac:dyDescent="0.3">
      <c r="A56">
        <v>10165</v>
      </c>
      <c r="B56" t="s">
        <v>25</v>
      </c>
      <c r="C56" t="s">
        <v>60</v>
      </c>
      <c r="D56" t="s">
        <v>69</v>
      </c>
      <c r="E56" t="s">
        <v>72</v>
      </c>
      <c r="F56" s="19">
        <v>143288</v>
      </c>
      <c r="G56">
        <v>10</v>
      </c>
      <c r="H56" t="s">
        <v>77</v>
      </c>
      <c r="K56" s="11" t="s">
        <v>0</v>
      </c>
      <c r="L56" s="11" t="s">
        <v>1</v>
      </c>
      <c r="M56" s="11" t="s">
        <v>80</v>
      </c>
      <c r="N56" s="11" t="s">
        <v>2</v>
      </c>
      <c r="O56" s="11" t="s">
        <v>3</v>
      </c>
      <c r="P56" s="11" t="s">
        <v>4</v>
      </c>
      <c r="Q56" s="24" t="s">
        <v>5</v>
      </c>
      <c r="R56" s="11" t="s">
        <v>6</v>
      </c>
      <c r="S56" s="11" t="s">
        <v>7</v>
      </c>
    </row>
    <row r="57" spans="1:19" x14ac:dyDescent="0.3">
      <c r="A57">
        <v>10115</v>
      </c>
      <c r="B57" t="s">
        <v>19</v>
      </c>
      <c r="C57" t="s">
        <v>65</v>
      </c>
      <c r="D57" t="s">
        <v>70</v>
      </c>
      <c r="E57" t="s">
        <v>73</v>
      </c>
      <c r="F57" s="19">
        <v>142030</v>
      </c>
      <c r="G57">
        <v>30</v>
      </c>
      <c r="H57" t="s">
        <v>77</v>
      </c>
      <c r="K57" s="2">
        <v>10126</v>
      </c>
      <c r="L57" s="15">
        <v>45310</v>
      </c>
      <c r="M57" s="15" t="str">
        <f>TEXT(AssignmentTable3[[#This Row],[Date]],"mmmm")</f>
        <v>January</v>
      </c>
      <c r="N57" s="3" t="s">
        <v>67</v>
      </c>
      <c r="O57" s="3" t="s">
        <v>69</v>
      </c>
      <c r="P57" s="3" t="s">
        <v>72</v>
      </c>
      <c r="Q57" s="25">
        <v>238381</v>
      </c>
      <c r="R57" s="3">
        <v>1</v>
      </c>
      <c r="S57" s="4" t="s">
        <v>79</v>
      </c>
    </row>
    <row r="58" spans="1:19" x14ac:dyDescent="0.3">
      <c r="A58">
        <v>10117</v>
      </c>
      <c r="B58" t="s">
        <v>22</v>
      </c>
      <c r="C58" t="s">
        <v>63</v>
      </c>
      <c r="D58" t="s">
        <v>70</v>
      </c>
      <c r="E58" t="s">
        <v>73</v>
      </c>
      <c r="F58" s="19">
        <v>140873</v>
      </c>
      <c r="G58">
        <v>3</v>
      </c>
      <c r="H58" t="s">
        <v>75</v>
      </c>
      <c r="K58" s="5">
        <v>10149</v>
      </c>
      <c r="L58" s="16">
        <v>45349</v>
      </c>
      <c r="M58" s="16" t="str">
        <f>TEXT(AssignmentTable3[[#This Row],[Date]],"mmmm")</f>
        <v>February</v>
      </c>
      <c r="N58" s="6" t="s">
        <v>66</v>
      </c>
      <c r="O58" s="6" t="s">
        <v>69</v>
      </c>
      <c r="P58" s="6" t="s">
        <v>72</v>
      </c>
      <c r="Q58" s="26">
        <v>199191</v>
      </c>
      <c r="R58" s="6">
        <v>1</v>
      </c>
      <c r="S58" s="7" t="s">
        <v>78</v>
      </c>
    </row>
    <row r="59" spans="1:19" x14ac:dyDescent="0.3">
      <c r="A59">
        <v>10133</v>
      </c>
      <c r="B59" t="s">
        <v>35</v>
      </c>
      <c r="C59" t="s">
        <v>60</v>
      </c>
      <c r="D59" t="s">
        <v>69</v>
      </c>
      <c r="E59" t="s">
        <v>72</v>
      </c>
      <c r="F59" s="19">
        <v>139466</v>
      </c>
      <c r="G59">
        <v>17</v>
      </c>
      <c r="H59" t="s">
        <v>77</v>
      </c>
      <c r="K59" s="2">
        <v>10179</v>
      </c>
      <c r="L59" s="15">
        <v>45314</v>
      </c>
      <c r="M59" s="15" t="str">
        <f>TEXT(AssignmentTable3[[#This Row],[Date]],"mmmm")</f>
        <v>March</v>
      </c>
      <c r="N59" s="3" t="s">
        <v>68</v>
      </c>
      <c r="O59" s="3" t="s">
        <v>69</v>
      </c>
      <c r="P59" s="3" t="s">
        <v>72</v>
      </c>
      <c r="Q59" s="25">
        <v>117376</v>
      </c>
      <c r="R59" s="3">
        <v>1</v>
      </c>
      <c r="S59" s="4" t="s">
        <v>75</v>
      </c>
    </row>
    <row r="60" spans="1:19" x14ac:dyDescent="0.3">
      <c r="A60">
        <v>10119</v>
      </c>
      <c r="B60" t="s">
        <v>24</v>
      </c>
      <c r="C60" t="s">
        <v>65</v>
      </c>
      <c r="D60" t="s">
        <v>70</v>
      </c>
      <c r="E60" t="s">
        <v>72</v>
      </c>
      <c r="F60" s="19">
        <v>139373</v>
      </c>
      <c r="G60">
        <v>5</v>
      </c>
      <c r="H60" t="s">
        <v>75</v>
      </c>
      <c r="K60" s="5">
        <v>10193</v>
      </c>
      <c r="L60" s="16">
        <v>45324</v>
      </c>
      <c r="M60" s="16" t="str">
        <f>TEXT(AssignmentTable3[[#This Row],[Date]],"mmmm")</f>
        <v>January</v>
      </c>
      <c r="N60" s="6" t="s">
        <v>65</v>
      </c>
      <c r="O60" s="6" t="s">
        <v>70</v>
      </c>
      <c r="P60" s="6" t="s">
        <v>72</v>
      </c>
      <c r="Q60" s="26">
        <v>345927</v>
      </c>
      <c r="R60" s="6">
        <v>3</v>
      </c>
      <c r="S60" s="7" t="s">
        <v>79</v>
      </c>
    </row>
    <row r="61" spans="1:19" x14ac:dyDescent="0.3">
      <c r="A61">
        <v>10173</v>
      </c>
      <c r="B61" t="s">
        <v>42</v>
      </c>
      <c r="C61" t="s">
        <v>63</v>
      </c>
      <c r="D61" t="s">
        <v>70</v>
      </c>
      <c r="E61" t="s">
        <v>72</v>
      </c>
      <c r="F61" s="19">
        <v>131325</v>
      </c>
      <c r="G61">
        <v>22</v>
      </c>
      <c r="H61" t="s">
        <v>76</v>
      </c>
      <c r="K61" s="2">
        <v>10141</v>
      </c>
      <c r="L61" s="15">
        <v>45343</v>
      </c>
      <c r="M61" s="15" t="str">
        <f>TEXT(AssignmentTable3[[#This Row],[Date]],"mmmm")</f>
        <v>February</v>
      </c>
      <c r="N61" s="3" t="s">
        <v>67</v>
      </c>
      <c r="O61" s="3" t="s">
        <v>69</v>
      </c>
      <c r="P61" s="3" t="s">
        <v>72</v>
      </c>
      <c r="Q61" s="25">
        <v>49953</v>
      </c>
      <c r="R61" s="3">
        <v>4</v>
      </c>
      <c r="S61" s="4" t="s">
        <v>78</v>
      </c>
    </row>
    <row r="62" spans="1:19" x14ac:dyDescent="0.3">
      <c r="A62">
        <v>10140</v>
      </c>
      <c r="B62" t="s">
        <v>40</v>
      </c>
      <c r="C62" t="s">
        <v>64</v>
      </c>
      <c r="D62" t="s">
        <v>70</v>
      </c>
      <c r="E62" t="s">
        <v>73</v>
      </c>
      <c r="F62" s="19">
        <v>127900</v>
      </c>
      <c r="G62">
        <v>26</v>
      </c>
      <c r="H62" t="s">
        <v>78</v>
      </c>
      <c r="K62" s="5">
        <v>10119</v>
      </c>
      <c r="L62" s="16">
        <v>45317</v>
      </c>
      <c r="M62" s="16" t="str">
        <f>TEXT(AssignmentTable3[[#This Row],[Date]],"mmmm")</f>
        <v>February</v>
      </c>
      <c r="N62" s="6" t="s">
        <v>65</v>
      </c>
      <c r="O62" s="6" t="s">
        <v>70</v>
      </c>
      <c r="P62" s="6" t="s">
        <v>72</v>
      </c>
      <c r="Q62" s="26">
        <v>139373</v>
      </c>
      <c r="R62" s="6">
        <v>5</v>
      </c>
      <c r="S62" s="7" t="s">
        <v>75</v>
      </c>
    </row>
    <row r="63" spans="1:19" x14ac:dyDescent="0.3">
      <c r="A63">
        <v>10103</v>
      </c>
      <c r="B63" t="s">
        <v>10</v>
      </c>
      <c r="C63" t="s">
        <v>59</v>
      </c>
      <c r="D63" t="s">
        <v>69</v>
      </c>
      <c r="E63" t="s">
        <v>72</v>
      </c>
      <c r="F63" s="19">
        <v>122481</v>
      </c>
      <c r="G63">
        <v>17</v>
      </c>
      <c r="H63" t="s">
        <v>77</v>
      </c>
      <c r="K63" s="2">
        <v>10195</v>
      </c>
      <c r="L63" s="15">
        <v>45335</v>
      </c>
      <c r="M63" s="15" t="str">
        <f>TEXT(AssignmentTable3[[#This Row],[Date]],"mmmm")</f>
        <v>January</v>
      </c>
      <c r="N63" s="3" t="s">
        <v>68</v>
      </c>
      <c r="O63" s="3" t="s">
        <v>69</v>
      </c>
      <c r="P63" s="3" t="s">
        <v>72</v>
      </c>
      <c r="Q63" s="25">
        <v>104901</v>
      </c>
      <c r="R63" s="3">
        <v>5</v>
      </c>
      <c r="S63" s="4" t="s">
        <v>76</v>
      </c>
    </row>
    <row r="64" spans="1:19" x14ac:dyDescent="0.3">
      <c r="A64">
        <v>10116</v>
      </c>
      <c r="B64" t="s">
        <v>21</v>
      </c>
      <c r="C64" t="s">
        <v>63</v>
      </c>
      <c r="D64" t="s">
        <v>70</v>
      </c>
      <c r="E64" t="s">
        <v>71</v>
      </c>
      <c r="F64" s="19">
        <v>120587</v>
      </c>
      <c r="G64">
        <v>27</v>
      </c>
      <c r="H64" t="s">
        <v>76</v>
      </c>
      <c r="K64" s="5">
        <v>10144</v>
      </c>
      <c r="L64" s="16">
        <v>45343</v>
      </c>
      <c r="M64" s="16" t="str">
        <f>TEXT(AssignmentTable3[[#This Row],[Date]],"mmmm")</f>
        <v>January</v>
      </c>
      <c r="N64" s="6" t="s">
        <v>59</v>
      </c>
      <c r="O64" s="6" t="s">
        <v>69</v>
      </c>
      <c r="P64" s="6" t="s">
        <v>72</v>
      </c>
      <c r="Q64" s="26">
        <v>100948</v>
      </c>
      <c r="R64" s="6">
        <v>7</v>
      </c>
      <c r="S64" s="7" t="s">
        <v>77</v>
      </c>
    </row>
    <row r="65" spans="1:19" x14ac:dyDescent="0.3">
      <c r="A65">
        <v>10179</v>
      </c>
      <c r="B65" t="s">
        <v>14</v>
      </c>
      <c r="C65" t="s">
        <v>68</v>
      </c>
      <c r="D65" t="s">
        <v>69</v>
      </c>
      <c r="E65" t="s">
        <v>72</v>
      </c>
      <c r="F65" s="19">
        <v>117376</v>
      </c>
      <c r="G65">
        <v>1</v>
      </c>
      <c r="H65" t="s">
        <v>75</v>
      </c>
      <c r="K65" s="2">
        <v>10182</v>
      </c>
      <c r="L65" s="15">
        <v>45299</v>
      </c>
      <c r="M65" s="15" t="str">
        <f>TEXT(AssignmentTable3[[#This Row],[Date]],"mmmm")</f>
        <v>January</v>
      </c>
      <c r="N65" s="3" t="s">
        <v>68</v>
      </c>
      <c r="O65" s="3" t="s">
        <v>69</v>
      </c>
      <c r="P65" s="3" t="s">
        <v>72</v>
      </c>
      <c r="Q65" s="25">
        <v>304896</v>
      </c>
      <c r="R65" s="3">
        <v>9</v>
      </c>
      <c r="S65" s="4" t="s">
        <v>76</v>
      </c>
    </row>
    <row r="66" spans="1:19" x14ac:dyDescent="0.3">
      <c r="A66">
        <v>10139</v>
      </c>
      <c r="B66" t="s">
        <v>33</v>
      </c>
      <c r="C66" t="s">
        <v>68</v>
      </c>
      <c r="D66" t="s">
        <v>69</v>
      </c>
      <c r="E66" t="s">
        <v>73</v>
      </c>
      <c r="F66" s="19">
        <v>112821</v>
      </c>
      <c r="G66">
        <v>18</v>
      </c>
      <c r="H66" t="s">
        <v>75</v>
      </c>
      <c r="K66" s="5">
        <v>10165</v>
      </c>
      <c r="L66" s="16">
        <v>45339</v>
      </c>
      <c r="M66" s="16" t="str">
        <f>TEXT(AssignmentTable3[[#This Row],[Date]],"mmmm")</f>
        <v>January</v>
      </c>
      <c r="N66" s="6" t="s">
        <v>60</v>
      </c>
      <c r="O66" s="6" t="s">
        <v>69</v>
      </c>
      <c r="P66" s="6" t="s">
        <v>72</v>
      </c>
      <c r="Q66" s="26">
        <v>143288</v>
      </c>
      <c r="R66" s="6">
        <v>10</v>
      </c>
      <c r="S66" s="7" t="s">
        <v>77</v>
      </c>
    </row>
    <row r="67" spans="1:19" x14ac:dyDescent="0.3">
      <c r="A67">
        <v>10118</v>
      </c>
      <c r="B67" t="s">
        <v>23</v>
      </c>
      <c r="C67" t="s">
        <v>64</v>
      </c>
      <c r="D67" t="s">
        <v>70</v>
      </c>
      <c r="E67" t="s">
        <v>74</v>
      </c>
      <c r="F67" s="19">
        <v>111977</v>
      </c>
      <c r="G67">
        <v>21</v>
      </c>
      <c r="H67" t="s">
        <v>78</v>
      </c>
    </row>
    <row r="68" spans="1:19" x14ac:dyDescent="0.3">
      <c r="A68">
        <v>10113</v>
      </c>
      <c r="B68" t="s">
        <v>19</v>
      </c>
      <c r="C68" t="s">
        <v>63</v>
      </c>
      <c r="D68" t="s">
        <v>70</v>
      </c>
      <c r="E68" t="s">
        <v>74</v>
      </c>
      <c r="F68" s="19">
        <v>110342</v>
      </c>
      <c r="G68">
        <v>22</v>
      </c>
      <c r="H68" t="s">
        <v>79</v>
      </c>
    </row>
    <row r="69" spans="1:19" x14ac:dyDescent="0.3">
      <c r="A69">
        <v>10157</v>
      </c>
      <c r="B69" t="s">
        <v>48</v>
      </c>
      <c r="C69" t="s">
        <v>63</v>
      </c>
      <c r="D69" t="s">
        <v>70</v>
      </c>
      <c r="E69" t="s">
        <v>74</v>
      </c>
      <c r="F69" s="19">
        <v>107590</v>
      </c>
      <c r="G69">
        <v>22</v>
      </c>
      <c r="H69" t="s">
        <v>79</v>
      </c>
    </row>
    <row r="70" spans="1:19" x14ac:dyDescent="0.3">
      <c r="A70">
        <v>10178</v>
      </c>
      <c r="B70" t="s">
        <v>46</v>
      </c>
      <c r="C70" t="s">
        <v>65</v>
      </c>
      <c r="D70" t="s">
        <v>70</v>
      </c>
      <c r="E70" t="s">
        <v>72</v>
      </c>
      <c r="F70" s="19">
        <v>105133</v>
      </c>
      <c r="G70">
        <v>27</v>
      </c>
      <c r="H70" t="s">
        <v>78</v>
      </c>
    </row>
    <row r="71" spans="1:19" x14ac:dyDescent="0.3">
      <c r="A71">
        <v>10195</v>
      </c>
      <c r="B71" t="s">
        <v>29</v>
      </c>
      <c r="C71" t="s">
        <v>68</v>
      </c>
      <c r="D71" t="s">
        <v>69</v>
      </c>
      <c r="E71" t="s">
        <v>72</v>
      </c>
      <c r="F71" s="19">
        <v>104901</v>
      </c>
      <c r="G71">
        <v>5</v>
      </c>
      <c r="H71" t="s">
        <v>76</v>
      </c>
    </row>
    <row r="72" spans="1:19" x14ac:dyDescent="0.3">
      <c r="A72">
        <v>10189</v>
      </c>
      <c r="B72" t="s">
        <v>20</v>
      </c>
      <c r="C72" t="s">
        <v>68</v>
      </c>
      <c r="D72" t="s">
        <v>69</v>
      </c>
      <c r="E72" t="s">
        <v>72</v>
      </c>
      <c r="F72" s="19">
        <v>101079</v>
      </c>
      <c r="G72">
        <v>14</v>
      </c>
      <c r="H72" t="s">
        <v>78</v>
      </c>
    </row>
    <row r="73" spans="1:19" x14ac:dyDescent="0.3">
      <c r="A73">
        <v>10144</v>
      </c>
      <c r="B73" t="s">
        <v>22</v>
      </c>
      <c r="C73" t="s">
        <v>59</v>
      </c>
      <c r="D73" t="s">
        <v>69</v>
      </c>
      <c r="E73" t="s">
        <v>72</v>
      </c>
      <c r="F73" s="19">
        <v>100948</v>
      </c>
      <c r="G73">
        <v>7</v>
      </c>
      <c r="H73" t="s">
        <v>77</v>
      </c>
    </row>
    <row r="74" spans="1:19" x14ac:dyDescent="0.3">
      <c r="A74">
        <v>10151</v>
      </c>
      <c r="B74" t="s">
        <v>44</v>
      </c>
      <c r="C74" t="s">
        <v>65</v>
      </c>
      <c r="D74" t="s">
        <v>70</v>
      </c>
      <c r="E74" t="s">
        <v>72</v>
      </c>
      <c r="F74" s="19">
        <v>100061</v>
      </c>
      <c r="G74">
        <v>10</v>
      </c>
      <c r="H74" t="s">
        <v>75</v>
      </c>
    </row>
    <row r="75" spans="1:19" x14ac:dyDescent="0.3">
      <c r="A75">
        <v>10145</v>
      </c>
      <c r="B75" t="s">
        <v>37</v>
      </c>
      <c r="C75" t="s">
        <v>62</v>
      </c>
      <c r="D75" t="s">
        <v>70</v>
      </c>
      <c r="E75" t="s">
        <v>73</v>
      </c>
      <c r="F75" s="19">
        <v>96700</v>
      </c>
      <c r="G75">
        <v>9</v>
      </c>
      <c r="H75" t="s">
        <v>78</v>
      </c>
    </row>
    <row r="76" spans="1:19" x14ac:dyDescent="0.3">
      <c r="A76">
        <v>10175</v>
      </c>
      <c r="B76" t="s">
        <v>53</v>
      </c>
      <c r="C76" t="s">
        <v>61</v>
      </c>
      <c r="D76" t="s">
        <v>70</v>
      </c>
      <c r="E76" t="s">
        <v>72</v>
      </c>
      <c r="F76" s="19">
        <v>93326</v>
      </c>
      <c r="G76">
        <v>29</v>
      </c>
      <c r="H76" t="s">
        <v>78</v>
      </c>
    </row>
    <row r="77" spans="1:19" x14ac:dyDescent="0.3">
      <c r="A77">
        <v>10122</v>
      </c>
      <c r="B77" t="s">
        <v>26</v>
      </c>
      <c r="C77" t="s">
        <v>66</v>
      </c>
      <c r="D77" t="s">
        <v>69</v>
      </c>
      <c r="E77" t="s">
        <v>71</v>
      </c>
      <c r="F77" s="19">
        <v>80632</v>
      </c>
      <c r="G77">
        <v>21</v>
      </c>
      <c r="H77" t="s">
        <v>75</v>
      </c>
    </row>
    <row r="78" spans="1:19" x14ac:dyDescent="0.3">
      <c r="A78">
        <v>10121</v>
      </c>
      <c r="B78" t="s">
        <v>24</v>
      </c>
      <c r="C78" t="s">
        <v>63</v>
      </c>
      <c r="D78" t="s">
        <v>70</v>
      </c>
      <c r="E78" t="s">
        <v>72</v>
      </c>
      <c r="F78" s="19">
        <v>73025</v>
      </c>
      <c r="G78">
        <v>17</v>
      </c>
      <c r="H78" t="s">
        <v>78</v>
      </c>
    </row>
    <row r="79" spans="1:19" x14ac:dyDescent="0.3">
      <c r="A79">
        <v>10200</v>
      </c>
      <c r="B79" t="s">
        <v>23</v>
      </c>
      <c r="C79" t="s">
        <v>59</v>
      </c>
      <c r="D79" t="s">
        <v>69</v>
      </c>
      <c r="E79" t="s">
        <v>73</v>
      </c>
      <c r="F79" s="19">
        <v>70408</v>
      </c>
      <c r="G79">
        <v>26</v>
      </c>
      <c r="H79" t="s">
        <v>78</v>
      </c>
    </row>
    <row r="80" spans="1:19" x14ac:dyDescent="0.3">
      <c r="A80">
        <v>10158</v>
      </c>
      <c r="B80" t="s">
        <v>33</v>
      </c>
      <c r="C80" t="s">
        <v>68</v>
      </c>
      <c r="D80" t="s">
        <v>69</v>
      </c>
      <c r="E80" t="s">
        <v>73</v>
      </c>
      <c r="F80" s="19">
        <v>69117</v>
      </c>
      <c r="G80">
        <v>22</v>
      </c>
      <c r="H80" t="s">
        <v>79</v>
      </c>
    </row>
    <row r="81" spans="1:8" x14ac:dyDescent="0.3">
      <c r="A81">
        <v>10132</v>
      </c>
      <c r="B81" t="s">
        <v>34</v>
      </c>
      <c r="C81" t="s">
        <v>59</v>
      </c>
      <c r="D81" t="s">
        <v>69</v>
      </c>
      <c r="E81" t="s">
        <v>72</v>
      </c>
      <c r="F81" s="19">
        <v>67814</v>
      </c>
      <c r="G81">
        <v>22</v>
      </c>
      <c r="H81" t="s">
        <v>78</v>
      </c>
    </row>
    <row r="82" spans="1:8" x14ac:dyDescent="0.3">
      <c r="A82">
        <v>10135</v>
      </c>
      <c r="B82" t="s">
        <v>37</v>
      </c>
      <c r="C82" t="s">
        <v>60</v>
      </c>
      <c r="D82" t="s">
        <v>69</v>
      </c>
      <c r="E82" t="s">
        <v>73</v>
      </c>
      <c r="F82" s="19">
        <v>63941</v>
      </c>
      <c r="G82">
        <v>8</v>
      </c>
      <c r="H82" t="s">
        <v>75</v>
      </c>
    </row>
    <row r="83" spans="1:8" x14ac:dyDescent="0.3">
      <c r="A83">
        <v>10164</v>
      </c>
      <c r="B83" t="s">
        <v>35</v>
      </c>
      <c r="C83" t="s">
        <v>62</v>
      </c>
      <c r="D83" t="s">
        <v>70</v>
      </c>
      <c r="E83" t="s">
        <v>74</v>
      </c>
      <c r="F83" s="19">
        <v>61017</v>
      </c>
      <c r="G83">
        <v>29</v>
      </c>
      <c r="H83" t="s">
        <v>76</v>
      </c>
    </row>
    <row r="84" spans="1:8" x14ac:dyDescent="0.3">
      <c r="A84">
        <v>10198</v>
      </c>
      <c r="B84" t="s">
        <v>33</v>
      </c>
      <c r="C84" t="s">
        <v>62</v>
      </c>
      <c r="D84" t="s">
        <v>70</v>
      </c>
      <c r="E84" t="s">
        <v>71</v>
      </c>
      <c r="F84" s="19">
        <v>56382</v>
      </c>
      <c r="G84">
        <v>25</v>
      </c>
      <c r="H84" t="s">
        <v>78</v>
      </c>
    </row>
    <row r="85" spans="1:8" x14ac:dyDescent="0.3">
      <c r="A85">
        <v>10141</v>
      </c>
      <c r="B85" t="s">
        <v>22</v>
      </c>
      <c r="C85" t="s">
        <v>67</v>
      </c>
      <c r="D85" t="s">
        <v>69</v>
      </c>
      <c r="E85" t="s">
        <v>72</v>
      </c>
      <c r="F85" s="19">
        <v>49953</v>
      </c>
      <c r="G85">
        <v>4</v>
      </c>
      <c r="H85" t="s">
        <v>78</v>
      </c>
    </row>
    <row r="86" spans="1:8" x14ac:dyDescent="0.3">
      <c r="A86">
        <v>10194</v>
      </c>
      <c r="B86" t="s">
        <v>31</v>
      </c>
      <c r="C86" t="s">
        <v>64</v>
      </c>
      <c r="D86" t="s">
        <v>70</v>
      </c>
      <c r="E86" t="s">
        <v>74</v>
      </c>
      <c r="F86" s="19">
        <v>49461</v>
      </c>
      <c r="G86">
        <v>27</v>
      </c>
      <c r="H86" t="s">
        <v>75</v>
      </c>
    </row>
    <row r="87" spans="1:8" x14ac:dyDescent="0.3">
      <c r="A87">
        <v>10147</v>
      </c>
      <c r="B87" t="s">
        <v>41</v>
      </c>
      <c r="C87" t="s">
        <v>60</v>
      </c>
      <c r="D87" t="s">
        <v>69</v>
      </c>
      <c r="E87" t="s">
        <v>71</v>
      </c>
      <c r="F87" s="19">
        <v>49396</v>
      </c>
      <c r="G87">
        <v>30</v>
      </c>
      <c r="H87" t="s">
        <v>75</v>
      </c>
    </row>
    <row r="88" spans="1:8" x14ac:dyDescent="0.3">
      <c r="A88">
        <v>10107</v>
      </c>
      <c r="B88" t="s">
        <v>13</v>
      </c>
      <c r="C88" t="s">
        <v>63</v>
      </c>
      <c r="D88" t="s">
        <v>70</v>
      </c>
      <c r="E88" t="s">
        <v>71</v>
      </c>
      <c r="F88" s="19">
        <v>49125</v>
      </c>
      <c r="G88">
        <v>13</v>
      </c>
      <c r="H88" t="s">
        <v>76</v>
      </c>
    </row>
    <row r="89" spans="1:8" x14ac:dyDescent="0.3">
      <c r="A89">
        <v>10131</v>
      </c>
      <c r="B89" t="s">
        <v>33</v>
      </c>
      <c r="C89" t="s">
        <v>64</v>
      </c>
      <c r="D89" t="s">
        <v>70</v>
      </c>
      <c r="E89" t="s">
        <v>71</v>
      </c>
      <c r="F89" s="19">
        <v>45407</v>
      </c>
      <c r="G89">
        <v>24</v>
      </c>
      <c r="H89" t="s">
        <v>78</v>
      </c>
    </row>
    <row r="90" spans="1:8" x14ac:dyDescent="0.3">
      <c r="A90">
        <v>10111</v>
      </c>
      <c r="B90" t="s">
        <v>17</v>
      </c>
      <c r="C90" t="s">
        <v>61</v>
      </c>
      <c r="D90" t="s">
        <v>70</v>
      </c>
      <c r="E90" t="s">
        <v>74</v>
      </c>
      <c r="F90" s="19">
        <v>42333</v>
      </c>
      <c r="G90">
        <v>28</v>
      </c>
      <c r="H90" t="s">
        <v>75</v>
      </c>
    </row>
    <row r="91" spans="1:8" x14ac:dyDescent="0.3">
      <c r="A91">
        <v>10109</v>
      </c>
      <c r="B91" t="s">
        <v>15</v>
      </c>
      <c r="C91" t="s">
        <v>59</v>
      </c>
      <c r="D91" t="s">
        <v>69</v>
      </c>
      <c r="E91" t="s">
        <v>73</v>
      </c>
      <c r="F91" s="19">
        <v>41813</v>
      </c>
      <c r="G91">
        <v>18</v>
      </c>
      <c r="H91" t="s">
        <v>79</v>
      </c>
    </row>
    <row r="92" spans="1:8" x14ac:dyDescent="0.3">
      <c r="A92">
        <v>10170</v>
      </c>
      <c r="B92" t="s">
        <v>52</v>
      </c>
      <c r="C92" t="s">
        <v>66</v>
      </c>
      <c r="D92" t="s">
        <v>69</v>
      </c>
      <c r="E92" t="s">
        <v>71</v>
      </c>
      <c r="F92" s="19">
        <v>39949</v>
      </c>
      <c r="G92">
        <v>29</v>
      </c>
      <c r="H92" t="s">
        <v>75</v>
      </c>
    </row>
    <row r="93" spans="1:8" x14ac:dyDescent="0.3">
      <c r="A93">
        <v>10137</v>
      </c>
      <c r="B93" t="s">
        <v>39</v>
      </c>
      <c r="C93" t="s">
        <v>61</v>
      </c>
      <c r="D93" t="s">
        <v>70</v>
      </c>
      <c r="E93" t="s">
        <v>71</v>
      </c>
      <c r="F93" s="19">
        <v>37720</v>
      </c>
      <c r="G93">
        <v>23</v>
      </c>
      <c r="H93" t="s">
        <v>76</v>
      </c>
    </row>
    <row r="94" spans="1:8" x14ac:dyDescent="0.3">
      <c r="A94">
        <v>10180</v>
      </c>
      <c r="B94" t="s">
        <v>24</v>
      </c>
      <c r="C94" t="s">
        <v>63</v>
      </c>
      <c r="D94" t="s">
        <v>70</v>
      </c>
      <c r="E94" t="s">
        <v>74</v>
      </c>
      <c r="F94" s="19">
        <v>36896</v>
      </c>
      <c r="G94">
        <v>25</v>
      </c>
      <c r="H94" t="s">
        <v>79</v>
      </c>
    </row>
    <row r="95" spans="1:8" x14ac:dyDescent="0.3">
      <c r="A95">
        <v>10161</v>
      </c>
      <c r="B95" t="s">
        <v>43</v>
      </c>
      <c r="C95" t="s">
        <v>62</v>
      </c>
      <c r="D95" t="s">
        <v>70</v>
      </c>
      <c r="E95" t="s">
        <v>74</v>
      </c>
      <c r="F95" s="19">
        <v>36566</v>
      </c>
      <c r="G95">
        <v>29</v>
      </c>
      <c r="H95" t="s">
        <v>75</v>
      </c>
    </row>
    <row r="96" spans="1:8" x14ac:dyDescent="0.3">
      <c r="A96">
        <v>10153</v>
      </c>
      <c r="B96" t="s">
        <v>39</v>
      </c>
      <c r="C96" t="s">
        <v>65</v>
      </c>
      <c r="D96" t="s">
        <v>70</v>
      </c>
      <c r="E96" t="s">
        <v>72</v>
      </c>
      <c r="F96" s="19">
        <v>30321</v>
      </c>
      <c r="G96">
        <v>17</v>
      </c>
      <c r="H96" t="s">
        <v>76</v>
      </c>
    </row>
    <row r="97" spans="1:8" x14ac:dyDescent="0.3">
      <c r="A97">
        <v>10167</v>
      </c>
      <c r="B97" t="s">
        <v>31</v>
      </c>
      <c r="C97" t="s">
        <v>65</v>
      </c>
      <c r="D97" t="s">
        <v>70</v>
      </c>
      <c r="E97" t="s">
        <v>74</v>
      </c>
      <c r="F97" s="19">
        <v>27133</v>
      </c>
      <c r="G97">
        <v>3</v>
      </c>
      <c r="H97" t="s">
        <v>78</v>
      </c>
    </row>
    <row r="98" spans="1:8" x14ac:dyDescent="0.3">
      <c r="A98">
        <v>10199</v>
      </c>
      <c r="B98" t="s">
        <v>21</v>
      </c>
      <c r="C98" t="s">
        <v>62</v>
      </c>
      <c r="D98" t="s">
        <v>70</v>
      </c>
      <c r="E98" t="s">
        <v>73</v>
      </c>
      <c r="F98" s="19">
        <v>26828</v>
      </c>
      <c r="G98">
        <v>18</v>
      </c>
      <c r="H98" t="s">
        <v>75</v>
      </c>
    </row>
    <row r="99" spans="1:8" x14ac:dyDescent="0.3">
      <c r="A99">
        <v>10108</v>
      </c>
      <c r="B99" t="s">
        <v>14</v>
      </c>
      <c r="C99" t="s">
        <v>63</v>
      </c>
      <c r="D99" t="s">
        <v>70</v>
      </c>
      <c r="E99" t="s">
        <v>74</v>
      </c>
      <c r="F99" s="19">
        <v>23280</v>
      </c>
      <c r="G99">
        <v>24</v>
      </c>
      <c r="H99" t="s">
        <v>78</v>
      </c>
    </row>
    <row r="100" spans="1:8" x14ac:dyDescent="0.3">
      <c r="A100">
        <v>10159</v>
      </c>
      <c r="B100" t="s">
        <v>28</v>
      </c>
      <c r="C100" t="s">
        <v>63</v>
      </c>
      <c r="D100" t="s">
        <v>70</v>
      </c>
      <c r="E100" t="s">
        <v>71</v>
      </c>
      <c r="F100" s="19">
        <v>5383</v>
      </c>
      <c r="G100">
        <v>15</v>
      </c>
      <c r="H100" t="s">
        <v>77</v>
      </c>
    </row>
    <row r="101" spans="1:8" x14ac:dyDescent="0.3">
      <c r="A101">
        <v>10168</v>
      </c>
      <c r="B101" t="s">
        <v>16</v>
      </c>
      <c r="C101" t="s">
        <v>68</v>
      </c>
      <c r="D101" t="s">
        <v>69</v>
      </c>
      <c r="E101" t="s">
        <v>71</v>
      </c>
      <c r="F101" s="19">
        <v>2358</v>
      </c>
      <c r="G101">
        <v>11</v>
      </c>
      <c r="H101" t="s">
        <v>75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85B8-E307-45B1-85AC-1A135938501B}">
  <dimension ref="A1:Q101"/>
  <sheetViews>
    <sheetView zoomScaleNormal="100" workbookViewId="0">
      <selection sqref="A1:I6"/>
    </sheetView>
  </sheetViews>
  <sheetFormatPr defaultRowHeight="14.4" x14ac:dyDescent="0.3"/>
  <cols>
    <col min="2" max="3" width="19.6640625" customWidth="1"/>
    <col min="7" max="7" width="14.6640625" style="23" customWidth="1"/>
    <col min="12" max="13" width="11.33203125" bestFit="1" customWidth="1"/>
    <col min="16" max="16" width="11.33203125" bestFit="1" customWidth="1"/>
  </cols>
  <sheetData>
    <row r="1" spans="1:17" x14ac:dyDescent="0.3">
      <c r="A1" s="1" t="s">
        <v>0</v>
      </c>
      <c r="B1" s="1" t="s">
        <v>1</v>
      </c>
      <c r="C1" s="1" t="s">
        <v>80</v>
      </c>
      <c r="D1" s="1" t="s">
        <v>2</v>
      </c>
      <c r="E1" s="1" t="s">
        <v>3</v>
      </c>
      <c r="F1" s="1" t="s">
        <v>4</v>
      </c>
      <c r="G1" s="21" t="s">
        <v>5</v>
      </c>
      <c r="H1" s="1" t="s">
        <v>6</v>
      </c>
      <c r="I1" s="1" t="s">
        <v>7</v>
      </c>
    </row>
    <row r="2" spans="1:17" x14ac:dyDescent="0.3">
      <c r="A2">
        <v>10187</v>
      </c>
      <c r="B2" s="14">
        <v>45352</v>
      </c>
      <c r="C2" s="14" t="str">
        <f>TEXT(AssignmentTable3[[#This Row],[Date]],"mmmm")</f>
        <v>March</v>
      </c>
      <c r="D2" t="s">
        <v>63</v>
      </c>
      <c r="E2" t="s">
        <v>70</v>
      </c>
      <c r="F2" t="s">
        <v>74</v>
      </c>
      <c r="G2" s="22">
        <v>348306</v>
      </c>
      <c r="H2">
        <v>28</v>
      </c>
      <c r="I2" t="s">
        <v>76</v>
      </c>
    </row>
    <row r="3" spans="1:17" x14ac:dyDescent="0.3">
      <c r="A3">
        <v>10193</v>
      </c>
      <c r="B3" s="14">
        <v>45324</v>
      </c>
      <c r="C3" s="14" t="str">
        <f>TEXT(AssignmentTable3[[#This Row],[Date]],"mmmm")</f>
        <v>February</v>
      </c>
      <c r="D3" t="s">
        <v>65</v>
      </c>
      <c r="E3" t="s">
        <v>70</v>
      </c>
      <c r="F3" t="s">
        <v>72</v>
      </c>
      <c r="G3" s="22">
        <v>345927</v>
      </c>
      <c r="H3">
        <v>3</v>
      </c>
      <c r="I3" t="s">
        <v>79</v>
      </c>
      <c r="J3">
        <f>COUNT(C:C)</f>
        <v>0</v>
      </c>
    </row>
    <row r="4" spans="1:17" x14ac:dyDescent="0.3">
      <c r="A4">
        <v>10156</v>
      </c>
      <c r="B4" s="14">
        <v>45331</v>
      </c>
      <c r="C4" s="14" t="str">
        <f>TEXT(AssignmentTable3[[#This Row],[Date]],"mmmm")</f>
        <v>February</v>
      </c>
      <c r="D4" t="s">
        <v>59</v>
      </c>
      <c r="E4" t="s">
        <v>69</v>
      </c>
      <c r="F4" t="s">
        <v>73</v>
      </c>
      <c r="G4" s="22">
        <v>345152</v>
      </c>
      <c r="H4">
        <v>19</v>
      </c>
      <c r="I4" t="s">
        <v>77</v>
      </c>
      <c r="J4" t="s">
        <v>82</v>
      </c>
    </row>
    <row r="5" spans="1:17" x14ac:dyDescent="0.3">
      <c r="A5">
        <v>10104</v>
      </c>
      <c r="B5" s="14">
        <v>45293</v>
      </c>
      <c r="C5" s="14" t="str">
        <f>TEXT(AssignmentTable3[[#This Row],[Date]],"mmmm")</f>
        <v>January</v>
      </c>
      <c r="D5" t="s">
        <v>60</v>
      </c>
      <c r="E5" t="s">
        <v>69</v>
      </c>
      <c r="F5" t="s">
        <v>72</v>
      </c>
      <c r="G5" s="22">
        <v>341226</v>
      </c>
      <c r="H5">
        <v>23</v>
      </c>
      <c r="I5" t="s">
        <v>77</v>
      </c>
      <c r="J5">
        <f>COUNTIF(I:I,AssignmentTable3[[#This Row],[Rep]])</f>
        <v>18</v>
      </c>
    </row>
    <row r="6" spans="1:17" x14ac:dyDescent="0.3">
      <c r="A6">
        <v>10125</v>
      </c>
      <c r="B6" s="14">
        <v>45335</v>
      </c>
      <c r="C6" s="14" t="str">
        <f>TEXT(AssignmentTable3[[#This Row],[Date]],"mmmm")</f>
        <v>February</v>
      </c>
      <c r="D6" t="s">
        <v>59</v>
      </c>
      <c r="E6" t="s">
        <v>69</v>
      </c>
      <c r="F6" t="s">
        <v>74</v>
      </c>
      <c r="G6" s="22">
        <v>336548</v>
      </c>
      <c r="H6">
        <v>11</v>
      </c>
      <c r="I6" t="s">
        <v>76</v>
      </c>
      <c r="J6">
        <f>COUNTIF(I:I,AssignmentTable3[[#This Row],[Rep]])</f>
        <v>26</v>
      </c>
    </row>
    <row r="7" spans="1:17" hidden="1" x14ac:dyDescent="0.3">
      <c r="A7">
        <v>10166</v>
      </c>
      <c r="B7" s="14">
        <v>45305</v>
      </c>
      <c r="C7" s="14" t="str">
        <f>TEXT(AssignmentTable3[[#This Row],[Date]],"mmmm")</f>
        <v>January</v>
      </c>
      <c r="D7" t="s">
        <v>63</v>
      </c>
      <c r="E7" t="s">
        <v>70</v>
      </c>
      <c r="F7" t="s">
        <v>72</v>
      </c>
      <c r="G7" s="22">
        <v>333023</v>
      </c>
      <c r="H7">
        <v>28</v>
      </c>
      <c r="I7" t="s">
        <v>79</v>
      </c>
      <c r="J7">
        <f>COUNTIF(I:I,AssignmentTable3[[#This Row],[Rep]])</f>
        <v>12</v>
      </c>
      <c r="K7">
        <f>COUNTIF(I:I,I5)</f>
        <v>18</v>
      </c>
    </row>
    <row r="8" spans="1:17" hidden="1" x14ac:dyDescent="0.3">
      <c r="A8">
        <v>10127</v>
      </c>
      <c r="B8" s="14">
        <v>45324</v>
      </c>
      <c r="C8" s="14" t="str">
        <f>TEXT(AssignmentTable3[[#This Row],[Date]],"mmmm")</f>
        <v>February</v>
      </c>
      <c r="D8" t="s">
        <v>62</v>
      </c>
      <c r="E8" t="s">
        <v>70</v>
      </c>
      <c r="F8" t="s">
        <v>71</v>
      </c>
      <c r="G8" s="22">
        <v>328337</v>
      </c>
      <c r="H8">
        <v>10</v>
      </c>
      <c r="I8" t="s">
        <v>77</v>
      </c>
      <c r="J8">
        <f>COUNTIF(I:I,AssignmentTable3[[#This Row],[Rep]])</f>
        <v>18</v>
      </c>
    </row>
    <row r="9" spans="1:17" hidden="1" x14ac:dyDescent="0.3">
      <c r="A9">
        <v>10174</v>
      </c>
      <c r="B9" s="14">
        <v>45314</v>
      </c>
      <c r="C9" s="14" t="str">
        <f>TEXT(AssignmentTable3[[#This Row],[Date]],"mmmm")</f>
        <v>January</v>
      </c>
      <c r="D9" t="s">
        <v>60</v>
      </c>
      <c r="E9" t="s">
        <v>69</v>
      </c>
      <c r="F9" t="s">
        <v>73</v>
      </c>
      <c r="G9" s="22">
        <v>325905</v>
      </c>
      <c r="H9">
        <v>24</v>
      </c>
      <c r="I9" t="s">
        <v>75</v>
      </c>
      <c r="J9">
        <f>COUNTIF(I:I,AssignmentTable3[[#This Row],[Rep]])</f>
        <v>24</v>
      </c>
    </row>
    <row r="10" spans="1:17" hidden="1" x14ac:dyDescent="0.3">
      <c r="A10">
        <v>10196</v>
      </c>
      <c r="B10" s="14">
        <v>45294</v>
      </c>
      <c r="C10" s="14" t="str">
        <f>TEXT(AssignmentTable3[[#This Row],[Date]],"mmmm")</f>
        <v>January</v>
      </c>
      <c r="D10" t="s">
        <v>61</v>
      </c>
      <c r="E10" t="s">
        <v>70</v>
      </c>
      <c r="F10" t="s">
        <v>73</v>
      </c>
      <c r="G10" s="22">
        <v>320983</v>
      </c>
      <c r="H10">
        <v>28</v>
      </c>
      <c r="I10" t="s">
        <v>76</v>
      </c>
      <c r="J10">
        <f>COUNTIF(I:I,AssignmentTable3[[#This Row],[Rep]])</f>
        <v>26</v>
      </c>
    </row>
    <row r="11" spans="1:17" hidden="1" x14ac:dyDescent="0.3">
      <c r="A11">
        <v>10129</v>
      </c>
      <c r="B11" s="14">
        <v>45326</v>
      </c>
      <c r="C11" s="14" t="str">
        <f>TEXT(AssignmentTable3[[#This Row],[Date]],"mmmm")</f>
        <v>February</v>
      </c>
      <c r="D11" t="s">
        <v>60</v>
      </c>
      <c r="E11" t="s">
        <v>69</v>
      </c>
      <c r="F11" t="s">
        <v>71</v>
      </c>
      <c r="G11" s="22">
        <v>314519</v>
      </c>
      <c r="H11">
        <v>11</v>
      </c>
      <c r="I11" t="s">
        <v>78</v>
      </c>
      <c r="J11">
        <f>COUNTIF(I:I,AssignmentTable3[[#This Row],[Rep]])</f>
        <v>20</v>
      </c>
    </row>
    <row r="12" spans="1:17" hidden="1" x14ac:dyDescent="0.3">
      <c r="A12">
        <v>10154</v>
      </c>
      <c r="B12" s="14">
        <v>45346</v>
      </c>
      <c r="C12" s="14" t="str">
        <f>TEXT(AssignmentTable3[[#This Row],[Date]],"mmmm")</f>
        <v>February</v>
      </c>
      <c r="D12" t="s">
        <v>62</v>
      </c>
      <c r="E12" t="s">
        <v>70</v>
      </c>
      <c r="F12" t="s">
        <v>71</v>
      </c>
      <c r="G12" s="22">
        <v>312469</v>
      </c>
      <c r="H12">
        <v>3</v>
      </c>
      <c r="I12" t="s">
        <v>75</v>
      </c>
      <c r="J12">
        <f>COUNTIF(I:I,AssignmentTable3[[#This Row],[Rep]])</f>
        <v>24</v>
      </c>
      <c r="L12" t="str">
        <f>_xlfn.XLOOKUP("Aisha",I:I,F:F,)</f>
        <v>Lagos</v>
      </c>
    </row>
    <row r="13" spans="1:17" hidden="1" x14ac:dyDescent="0.3">
      <c r="A13">
        <v>10102</v>
      </c>
      <c r="B13" s="14">
        <v>45300</v>
      </c>
      <c r="C13" s="14" t="str">
        <f>TEXT(AssignmentTable3[[#This Row],[Date]],"mmmm")</f>
        <v>January</v>
      </c>
      <c r="D13" t="s">
        <v>59</v>
      </c>
      <c r="E13" t="s">
        <v>69</v>
      </c>
      <c r="F13" t="s">
        <v>71</v>
      </c>
      <c r="G13" s="22">
        <v>310088</v>
      </c>
      <c r="H13">
        <v>14</v>
      </c>
      <c r="I13" t="s">
        <v>76</v>
      </c>
      <c r="J13">
        <f>COUNTIF(I:I,AssignmentTable3[[#This Row],[Rep]])</f>
        <v>26</v>
      </c>
    </row>
    <row r="14" spans="1:17" hidden="1" x14ac:dyDescent="0.3">
      <c r="A14">
        <v>10105</v>
      </c>
      <c r="B14" s="14">
        <v>45318</v>
      </c>
      <c r="C14" s="14" t="str">
        <f>TEXT(AssignmentTable3[[#This Row],[Date]],"mmmm")</f>
        <v>January</v>
      </c>
      <c r="D14" t="s">
        <v>61</v>
      </c>
      <c r="E14" t="s">
        <v>70</v>
      </c>
      <c r="F14" t="s">
        <v>73</v>
      </c>
      <c r="G14" s="22">
        <v>309444</v>
      </c>
      <c r="H14">
        <v>9</v>
      </c>
      <c r="I14" t="s">
        <v>76</v>
      </c>
      <c r="J14">
        <f>COUNTIF(I:I,AssignmentTable3[[#This Row],[Rep]])</f>
        <v>26</v>
      </c>
    </row>
    <row r="15" spans="1:17" hidden="1" x14ac:dyDescent="0.3">
      <c r="A15">
        <v>10136</v>
      </c>
      <c r="B15" s="14">
        <v>45296</v>
      </c>
      <c r="C15" s="14" t="str">
        <f>TEXT(AssignmentTable3[[#This Row],[Date]],"mmmm")</f>
        <v>January</v>
      </c>
      <c r="D15" t="s">
        <v>63</v>
      </c>
      <c r="E15" t="s">
        <v>70</v>
      </c>
      <c r="F15" t="s">
        <v>71</v>
      </c>
      <c r="G15" s="22">
        <v>308943</v>
      </c>
      <c r="H15">
        <v>18</v>
      </c>
      <c r="I15" t="s">
        <v>75</v>
      </c>
      <c r="J15">
        <f>COUNTIF(I:I,AssignmentTable3[[#This Row],[Rep]])</f>
        <v>24</v>
      </c>
      <c r="L15" t="str">
        <f>_xlfn.XLOOKUP("Keyboard",D:D,E:E)</f>
        <v>Tech</v>
      </c>
    </row>
    <row r="16" spans="1:17" hidden="1" x14ac:dyDescent="0.3">
      <c r="A16">
        <v>10120</v>
      </c>
      <c r="B16" s="14">
        <v>45339</v>
      </c>
      <c r="C16" s="14" t="str">
        <f>TEXT(AssignmentTable3[[#This Row],[Date]],"mmmm")</f>
        <v>February</v>
      </c>
      <c r="D16" t="s">
        <v>60</v>
      </c>
      <c r="E16" t="s">
        <v>69</v>
      </c>
      <c r="F16" t="s">
        <v>74</v>
      </c>
      <c r="G16" s="22">
        <v>306991</v>
      </c>
      <c r="H16">
        <v>14</v>
      </c>
      <c r="I16" t="s">
        <v>77</v>
      </c>
      <c r="J16">
        <f>COUNTIF(I:I,AssignmentTable3[[#This Row],[Rep]])</f>
        <v>18</v>
      </c>
      <c r="O16" t="str">
        <f>_xlfn.XLOOKUP(A2,A:A,F:F)</f>
        <v>Ibadan</v>
      </c>
      <c r="P16" s="20">
        <f>_xlfn.XLOOKUP(A2,A:A,G:G)</f>
        <v>348306</v>
      </c>
      <c r="Q16">
        <f>_xlfn.XLOOKUP(A2,A:A,H:H)</f>
        <v>28</v>
      </c>
    </row>
    <row r="17" spans="1:13" hidden="1" x14ac:dyDescent="0.3">
      <c r="A17">
        <v>10171</v>
      </c>
      <c r="B17" s="14">
        <v>45326</v>
      </c>
      <c r="C17" s="14" t="str">
        <f>TEXT(AssignmentTable3[[#This Row],[Date]],"mmmm")</f>
        <v>February</v>
      </c>
      <c r="D17" t="s">
        <v>66</v>
      </c>
      <c r="E17" t="s">
        <v>69</v>
      </c>
      <c r="F17" t="s">
        <v>74</v>
      </c>
      <c r="G17" s="22">
        <v>305902</v>
      </c>
      <c r="H17">
        <v>18</v>
      </c>
      <c r="I17" t="s">
        <v>75</v>
      </c>
      <c r="J17">
        <f>COUNTIF(I:I,AssignmentTable3[[#This Row],[Rep]])</f>
        <v>24</v>
      </c>
    </row>
    <row r="18" spans="1:13" hidden="1" x14ac:dyDescent="0.3">
      <c r="A18">
        <v>10182</v>
      </c>
      <c r="B18" s="14">
        <v>45299</v>
      </c>
      <c r="C18" s="14" t="str">
        <f>TEXT(AssignmentTable3[[#This Row],[Date]],"mmmm")</f>
        <v>January</v>
      </c>
      <c r="D18" t="s">
        <v>68</v>
      </c>
      <c r="E18" t="s">
        <v>69</v>
      </c>
      <c r="F18" t="s">
        <v>72</v>
      </c>
      <c r="G18" s="22">
        <v>304896</v>
      </c>
      <c r="H18">
        <v>9</v>
      </c>
      <c r="I18" t="s">
        <v>76</v>
      </c>
      <c r="J18">
        <f>COUNTIF(I:I,AssignmentTable3[[#This Row],[Rep]])</f>
        <v>26</v>
      </c>
      <c r="L18">
        <f>_xlfn.XLOOKUP(10172,A:A,H:H)</f>
        <v>12</v>
      </c>
    </row>
    <row r="19" spans="1:13" hidden="1" x14ac:dyDescent="0.3">
      <c r="A19">
        <v>10155</v>
      </c>
      <c r="B19" s="14">
        <v>45317</v>
      </c>
      <c r="C19" s="14" t="str">
        <f>TEXT(AssignmentTable3[[#This Row],[Date]],"mmmm")</f>
        <v>January</v>
      </c>
      <c r="D19" t="s">
        <v>59</v>
      </c>
      <c r="E19" t="s">
        <v>69</v>
      </c>
      <c r="F19" t="s">
        <v>72</v>
      </c>
      <c r="G19" s="22">
        <v>304020</v>
      </c>
      <c r="H19">
        <v>20</v>
      </c>
      <c r="I19" t="s">
        <v>76</v>
      </c>
      <c r="J19">
        <f>COUNTIF(I:I,AssignmentTable3[[#This Row],[Rep]])</f>
        <v>26</v>
      </c>
      <c r="L19" t="str">
        <f>_xlfn.XLOOKUP(G2,G:G,D:D)</f>
        <v>Bread</v>
      </c>
    </row>
    <row r="20" spans="1:13" hidden="1" x14ac:dyDescent="0.3">
      <c r="A20">
        <v>10110</v>
      </c>
      <c r="B20" s="14">
        <v>45345</v>
      </c>
      <c r="C20" s="14" t="str">
        <f>TEXT(AssignmentTable3[[#This Row],[Date]],"mmmm")</f>
        <v>February</v>
      </c>
      <c r="D20" t="s">
        <v>64</v>
      </c>
      <c r="E20" t="s">
        <v>70</v>
      </c>
      <c r="F20" t="s">
        <v>74</v>
      </c>
      <c r="G20" s="22">
        <v>303198</v>
      </c>
      <c r="H20">
        <v>7</v>
      </c>
      <c r="I20" t="s">
        <v>76</v>
      </c>
      <c r="J20">
        <f>COUNTIF(I:I,AssignmentTable3[[#This Row],[Rep]])</f>
        <v>26</v>
      </c>
    </row>
    <row r="21" spans="1:13" hidden="1" x14ac:dyDescent="0.3">
      <c r="A21">
        <v>10163</v>
      </c>
      <c r="B21" s="14">
        <v>45337</v>
      </c>
      <c r="C21" s="14" t="str">
        <f>TEXT(AssignmentTable3[[#This Row],[Date]],"mmmm")</f>
        <v>February</v>
      </c>
      <c r="D21" t="s">
        <v>68</v>
      </c>
      <c r="E21" t="s">
        <v>69</v>
      </c>
      <c r="F21" t="s">
        <v>71</v>
      </c>
      <c r="G21" s="22">
        <v>291271</v>
      </c>
      <c r="H21">
        <v>10</v>
      </c>
      <c r="I21" t="s">
        <v>76</v>
      </c>
      <c r="J21">
        <f>COUNTIF(I:I,AssignmentTable3[[#This Row],[Rep]])</f>
        <v>26</v>
      </c>
    </row>
    <row r="22" spans="1:13" hidden="1" x14ac:dyDescent="0.3">
      <c r="A22">
        <v>10124</v>
      </c>
      <c r="B22" s="14">
        <v>45321</v>
      </c>
      <c r="C22" s="14" t="str">
        <f>TEXT(AssignmentTable3[[#This Row],[Date]],"mmmm")</f>
        <v>January</v>
      </c>
      <c r="D22" t="s">
        <v>60</v>
      </c>
      <c r="E22" t="s">
        <v>69</v>
      </c>
      <c r="F22" t="s">
        <v>74</v>
      </c>
      <c r="G22" s="22">
        <v>290549</v>
      </c>
      <c r="H22">
        <v>28</v>
      </c>
      <c r="I22" t="s">
        <v>76</v>
      </c>
      <c r="J22">
        <f>COUNTIF(I:I,AssignmentTable3[[#This Row],[Rep]])</f>
        <v>26</v>
      </c>
      <c r="L22" s="14">
        <f>_xlfn.XLOOKUP(D10,D:D,B:B)</f>
        <v>45294</v>
      </c>
    </row>
    <row r="23" spans="1:13" hidden="1" x14ac:dyDescent="0.3">
      <c r="A23">
        <v>10146</v>
      </c>
      <c r="B23" s="14">
        <v>45307</v>
      </c>
      <c r="C23" s="14" t="str">
        <f>TEXT(AssignmentTable3[[#This Row],[Date]],"mmmm")</f>
        <v>January</v>
      </c>
      <c r="D23" t="s">
        <v>59</v>
      </c>
      <c r="E23" t="s">
        <v>69</v>
      </c>
      <c r="F23" t="s">
        <v>73</v>
      </c>
      <c r="G23" s="22">
        <v>289028</v>
      </c>
      <c r="H23">
        <v>4</v>
      </c>
      <c r="I23" t="s">
        <v>76</v>
      </c>
      <c r="J23">
        <f>COUNTIF(I:I,AssignmentTable3[[#This Row],[Rep]])</f>
        <v>26</v>
      </c>
      <c r="M23" s="14" cm="1">
        <f t="array" ref="M23">_xlfn.XLOOKUP("Grace"&amp;"Grocery",I:I&amp;E:E,B:B)</f>
        <v>45346</v>
      </c>
    </row>
    <row r="24" spans="1:13" hidden="1" x14ac:dyDescent="0.3">
      <c r="A24">
        <v>10160</v>
      </c>
      <c r="B24" s="14">
        <v>45328</v>
      </c>
      <c r="C24" s="14" t="str">
        <f>TEXT(AssignmentTable3[[#This Row],[Date]],"mmmm")</f>
        <v>February</v>
      </c>
      <c r="D24" t="s">
        <v>59</v>
      </c>
      <c r="E24" t="s">
        <v>69</v>
      </c>
      <c r="F24" t="s">
        <v>71</v>
      </c>
      <c r="G24" s="22">
        <v>282375</v>
      </c>
      <c r="H24">
        <v>7</v>
      </c>
      <c r="I24" t="s">
        <v>77</v>
      </c>
      <c r="J24">
        <f>COUNTIF(I:I,AssignmentTable3[[#This Row],[Rep]])</f>
        <v>18</v>
      </c>
      <c r="L24" t="str">
        <f>_xlfn.XLOOKUP(L22,B:B,I:I)</f>
        <v>Samuel</v>
      </c>
    </row>
    <row r="25" spans="1:13" hidden="1" x14ac:dyDescent="0.3">
      <c r="A25">
        <v>10181</v>
      </c>
      <c r="B25" s="14">
        <v>45314</v>
      </c>
      <c r="C25" s="14" t="str">
        <f>TEXT(AssignmentTable3[[#This Row],[Date]],"mmmm")</f>
        <v>January</v>
      </c>
      <c r="D25" t="s">
        <v>60</v>
      </c>
      <c r="E25" t="s">
        <v>69</v>
      </c>
      <c r="F25" t="s">
        <v>73</v>
      </c>
      <c r="G25" s="22">
        <v>281631</v>
      </c>
      <c r="H25">
        <v>11</v>
      </c>
      <c r="I25" t="s">
        <v>76</v>
      </c>
      <c r="J25">
        <f>COUNTIF(I:I,AssignmentTable3[[#This Row],[Rep]])</f>
        <v>26</v>
      </c>
    </row>
    <row r="26" spans="1:13" hidden="1" x14ac:dyDescent="0.3">
      <c r="A26">
        <v>10114</v>
      </c>
      <c r="B26" s="14">
        <v>45336</v>
      </c>
      <c r="C26" s="14" t="str">
        <f>TEXT(AssignmentTable3[[#This Row],[Date]],"mmmm")</f>
        <v>February</v>
      </c>
      <c r="D26" t="s">
        <v>59</v>
      </c>
      <c r="E26" t="s">
        <v>69</v>
      </c>
      <c r="F26" t="s">
        <v>72</v>
      </c>
      <c r="G26" s="22">
        <v>280543</v>
      </c>
      <c r="H26">
        <v>24</v>
      </c>
      <c r="I26" t="s">
        <v>75</v>
      </c>
      <c r="J26">
        <f>COUNTIF(I:I,AssignmentTable3[[#This Row],[Rep]])</f>
        <v>24</v>
      </c>
      <c r="L26" s="23">
        <f>INDEX(AssignmentTable3[],10,7)</f>
        <v>314519</v>
      </c>
    </row>
    <row r="27" spans="1:13" hidden="1" x14ac:dyDescent="0.3">
      <c r="A27">
        <v>10148</v>
      </c>
      <c r="B27" s="14">
        <v>45302</v>
      </c>
      <c r="C27" s="14" t="str">
        <f>TEXT(AssignmentTable3[[#This Row],[Date]],"mmmm")</f>
        <v>January</v>
      </c>
      <c r="D27" t="s">
        <v>67</v>
      </c>
      <c r="E27" t="s">
        <v>69</v>
      </c>
      <c r="F27" t="s">
        <v>73</v>
      </c>
      <c r="G27" s="22">
        <v>252870</v>
      </c>
      <c r="H27">
        <v>7</v>
      </c>
      <c r="I27" t="s">
        <v>78</v>
      </c>
      <c r="J27">
        <f>COUNTIF(I:I,AssignmentTable3[[#This Row],[Rep]])</f>
        <v>20</v>
      </c>
    </row>
    <row r="28" spans="1:13" hidden="1" x14ac:dyDescent="0.3">
      <c r="A28">
        <v>10142</v>
      </c>
      <c r="B28" s="14">
        <v>45314</v>
      </c>
      <c r="C28" s="14" t="str">
        <f>TEXT(AssignmentTable3[[#This Row],[Date]],"mmmm")</f>
        <v>January</v>
      </c>
      <c r="D28" t="s">
        <v>67</v>
      </c>
      <c r="E28" t="s">
        <v>69</v>
      </c>
      <c r="F28" t="s">
        <v>73</v>
      </c>
      <c r="G28" s="22">
        <v>245355</v>
      </c>
      <c r="H28">
        <v>28</v>
      </c>
      <c r="I28" t="s">
        <v>76</v>
      </c>
      <c r="J28">
        <f>COUNTIF(I:I,AssignmentTable3[[#This Row],[Rep]])</f>
        <v>26</v>
      </c>
    </row>
    <row r="29" spans="1:13" hidden="1" x14ac:dyDescent="0.3">
      <c r="A29">
        <v>10126</v>
      </c>
      <c r="B29" s="14">
        <v>45310</v>
      </c>
      <c r="C29" s="14" t="str">
        <f>TEXT(AssignmentTable3[[#This Row],[Date]],"mmmm")</f>
        <v>January</v>
      </c>
      <c r="D29" t="s">
        <v>67</v>
      </c>
      <c r="E29" t="s">
        <v>69</v>
      </c>
      <c r="F29" t="s">
        <v>72</v>
      </c>
      <c r="G29" s="22">
        <v>238381</v>
      </c>
      <c r="H29">
        <v>1</v>
      </c>
      <c r="I29" t="s">
        <v>79</v>
      </c>
      <c r="J29">
        <f>COUNTIF(I:I,AssignmentTable3[[#This Row],[Rep]])</f>
        <v>12</v>
      </c>
    </row>
    <row r="30" spans="1:13" hidden="1" x14ac:dyDescent="0.3">
      <c r="A30">
        <v>10169</v>
      </c>
      <c r="B30" s="14">
        <v>45332</v>
      </c>
      <c r="C30" s="14" t="str">
        <f>TEXT(AssignmentTable3[[#This Row],[Date]],"mmmm")</f>
        <v>February</v>
      </c>
      <c r="D30" t="s">
        <v>68</v>
      </c>
      <c r="E30" t="s">
        <v>69</v>
      </c>
      <c r="F30" t="s">
        <v>72</v>
      </c>
      <c r="G30" s="22">
        <v>232149</v>
      </c>
      <c r="H30">
        <v>18</v>
      </c>
      <c r="I30" t="s">
        <v>78</v>
      </c>
      <c r="J30">
        <f>COUNTIF(I:I,AssignmentTable3[[#This Row],[Rep]])</f>
        <v>20</v>
      </c>
    </row>
    <row r="31" spans="1:13" hidden="1" x14ac:dyDescent="0.3">
      <c r="A31">
        <v>10192</v>
      </c>
      <c r="B31" s="14">
        <v>45330</v>
      </c>
      <c r="C31" s="14" t="str">
        <f>TEXT(AssignmentTable3[[#This Row],[Date]],"mmmm")</f>
        <v>February</v>
      </c>
      <c r="D31" t="s">
        <v>63</v>
      </c>
      <c r="E31" t="s">
        <v>70</v>
      </c>
      <c r="F31" t="s">
        <v>73</v>
      </c>
      <c r="G31" s="22">
        <v>232123</v>
      </c>
      <c r="H31">
        <v>15</v>
      </c>
      <c r="I31" t="s">
        <v>75</v>
      </c>
      <c r="J31">
        <f>COUNTIF(I:I,AssignmentTable3[[#This Row],[Rep]])</f>
        <v>24</v>
      </c>
    </row>
    <row r="32" spans="1:13" hidden="1" x14ac:dyDescent="0.3">
      <c r="A32">
        <v>10162</v>
      </c>
      <c r="B32" s="14">
        <v>45315</v>
      </c>
      <c r="C32" s="14" t="str">
        <f>TEXT(AssignmentTable3[[#This Row],[Date]],"mmmm")</f>
        <v>January</v>
      </c>
      <c r="D32" t="s">
        <v>68</v>
      </c>
      <c r="E32" t="s">
        <v>69</v>
      </c>
      <c r="F32" t="s">
        <v>72</v>
      </c>
      <c r="G32" s="22">
        <v>230234</v>
      </c>
      <c r="H32">
        <v>27</v>
      </c>
      <c r="I32" t="s">
        <v>77</v>
      </c>
      <c r="J32">
        <f>COUNTIF(I:I,AssignmentTable3[[#This Row],[Rep]])</f>
        <v>18</v>
      </c>
    </row>
    <row r="33" spans="1:10" hidden="1" x14ac:dyDescent="0.3">
      <c r="A33">
        <v>10185</v>
      </c>
      <c r="B33" s="14">
        <v>45304</v>
      </c>
      <c r="C33" s="14" t="str">
        <f>TEXT(AssignmentTable3[[#This Row],[Date]],"mmmm")</f>
        <v>January</v>
      </c>
      <c r="D33" t="s">
        <v>68</v>
      </c>
      <c r="E33" t="s">
        <v>69</v>
      </c>
      <c r="F33" t="s">
        <v>71</v>
      </c>
      <c r="G33" s="22">
        <v>229119</v>
      </c>
      <c r="H33">
        <v>1</v>
      </c>
      <c r="I33" t="s">
        <v>77</v>
      </c>
      <c r="J33">
        <f>COUNTIF(I:I,AssignmentTable3[[#This Row],[Rep]])</f>
        <v>18</v>
      </c>
    </row>
    <row r="34" spans="1:10" hidden="1" x14ac:dyDescent="0.3">
      <c r="A34">
        <v>10191</v>
      </c>
      <c r="B34" s="14">
        <v>45311</v>
      </c>
      <c r="C34" s="14" t="str">
        <f>TEXT(AssignmentTable3[[#This Row],[Date]],"mmmm")</f>
        <v>January</v>
      </c>
      <c r="D34" t="s">
        <v>68</v>
      </c>
      <c r="E34" t="s">
        <v>69</v>
      </c>
      <c r="F34" t="s">
        <v>72</v>
      </c>
      <c r="G34" s="22">
        <v>225885</v>
      </c>
      <c r="H34">
        <v>26</v>
      </c>
      <c r="I34" t="s">
        <v>77</v>
      </c>
      <c r="J34">
        <f>COUNTIF(I:I,AssignmentTable3[[#This Row],[Rep]])</f>
        <v>18</v>
      </c>
    </row>
    <row r="35" spans="1:10" hidden="1" x14ac:dyDescent="0.3">
      <c r="A35">
        <v>10150</v>
      </c>
      <c r="B35" s="14">
        <v>45308</v>
      </c>
      <c r="C35" s="14" t="str">
        <f>TEXT(AssignmentTable3[[#This Row],[Date]],"mmmm")</f>
        <v>January</v>
      </c>
      <c r="D35" t="s">
        <v>65</v>
      </c>
      <c r="E35" t="s">
        <v>70</v>
      </c>
      <c r="F35" t="s">
        <v>74</v>
      </c>
      <c r="G35" s="22">
        <v>222277</v>
      </c>
      <c r="H35">
        <v>23</v>
      </c>
      <c r="I35" t="s">
        <v>77</v>
      </c>
      <c r="J35">
        <f>COUNTIF(I:I,AssignmentTable3[[#This Row],[Rep]])</f>
        <v>18</v>
      </c>
    </row>
    <row r="36" spans="1:10" hidden="1" x14ac:dyDescent="0.3">
      <c r="A36">
        <v>10176</v>
      </c>
      <c r="B36" s="14">
        <v>45293</v>
      </c>
      <c r="C36" s="14" t="str">
        <f>TEXT(AssignmentTable3[[#This Row],[Date]],"mmmm")</f>
        <v>January</v>
      </c>
      <c r="D36" t="s">
        <v>62</v>
      </c>
      <c r="E36" t="s">
        <v>70</v>
      </c>
      <c r="F36" t="s">
        <v>74</v>
      </c>
      <c r="G36" s="22">
        <v>216356</v>
      </c>
      <c r="H36">
        <v>26</v>
      </c>
      <c r="I36" t="s">
        <v>75</v>
      </c>
      <c r="J36">
        <f>COUNTIF(I:I,AssignmentTable3[[#This Row],[Rep]])</f>
        <v>24</v>
      </c>
    </row>
    <row r="37" spans="1:10" hidden="1" x14ac:dyDescent="0.3">
      <c r="A37">
        <v>10188</v>
      </c>
      <c r="B37" s="14">
        <v>45338</v>
      </c>
      <c r="C37" s="14" t="str">
        <f>TEXT(AssignmentTable3[[#This Row],[Date]],"mmmm")</f>
        <v>February</v>
      </c>
      <c r="D37" t="s">
        <v>68</v>
      </c>
      <c r="E37" t="s">
        <v>69</v>
      </c>
      <c r="F37" t="s">
        <v>74</v>
      </c>
      <c r="G37" s="22">
        <v>214615</v>
      </c>
      <c r="H37">
        <v>11</v>
      </c>
      <c r="I37" t="s">
        <v>78</v>
      </c>
      <c r="J37">
        <f>COUNTIF(I:I,AssignmentTable3[[#This Row],[Rep]])</f>
        <v>20</v>
      </c>
    </row>
    <row r="38" spans="1:10" hidden="1" x14ac:dyDescent="0.3">
      <c r="A38">
        <v>10190</v>
      </c>
      <c r="B38" s="14">
        <v>45335</v>
      </c>
      <c r="C38" s="14" t="str">
        <f>TEXT(AssignmentTable3[[#This Row],[Date]],"mmmm")</f>
        <v>February</v>
      </c>
      <c r="D38" t="s">
        <v>62</v>
      </c>
      <c r="E38" t="s">
        <v>70</v>
      </c>
      <c r="F38" t="s">
        <v>74</v>
      </c>
      <c r="G38" s="22">
        <v>213400</v>
      </c>
      <c r="H38">
        <v>18</v>
      </c>
      <c r="I38" t="s">
        <v>76</v>
      </c>
      <c r="J38">
        <f>COUNTIF(I:I,AssignmentTable3[[#This Row],[Rep]])</f>
        <v>26</v>
      </c>
    </row>
    <row r="39" spans="1:10" hidden="1" x14ac:dyDescent="0.3">
      <c r="A39">
        <v>10143</v>
      </c>
      <c r="B39" s="14">
        <v>45335</v>
      </c>
      <c r="C39" s="14" t="str">
        <f>TEXT(AssignmentTable3[[#This Row],[Date]],"mmmm")</f>
        <v>February</v>
      </c>
      <c r="D39" t="s">
        <v>59</v>
      </c>
      <c r="E39" t="s">
        <v>69</v>
      </c>
      <c r="F39" t="s">
        <v>71</v>
      </c>
      <c r="G39" s="22">
        <v>211589</v>
      </c>
      <c r="H39">
        <v>24</v>
      </c>
      <c r="I39" t="s">
        <v>79</v>
      </c>
      <c r="J39">
        <f>COUNTIF(I:I,AssignmentTable3[[#This Row],[Rep]])</f>
        <v>12</v>
      </c>
    </row>
    <row r="40" spans="1:10" hidden="1" x14ac:dyDescent="0.3">
      <c r="A40">
        <v>10184</v>
      </c>
      <c r="B40" s="14">
        <v>45319</v>
      </c>
      <c r="C40" s="14" t="str">
        <f>TEXT(AssignmentTable3[[#This Row],[Date]],"mmmm")</f>
        <v>January</v>
      </c>
      <c r="D40" t="s">
        <v>64</v>
      </c>
      <c r="E40" t="s">
        <v>70</v>
      </c>
      <c r="F40" t="s">
        <v>71</v>
      </c>
      <c r="G40" s="22">
        <v>202453</v>
      </c>
      <c r="H40">
        <v>29</v>
      </c>
      <c r="I40" t="s">
        <v>77</v>
      </c>
      <c r="J40">
        <f>COUNTIF(I:I,AssignmentTable3[[#This Row],[Rep]])</f>
        <v>18</v>
      </c>
    </row>
    <row r="41" spans="1:10" hidden="1" x14ac:dyDescent="0.3">
      <c r="A41">
        <v>10123</v>
      </c>
      <c r="B41" s="14">
        <v>45342</v>
      </c>
      <c r="C41" s="14" t="str">
        <f>TEXT(AssignmentTable3[[#This Row],[Date]],"mmmm")</f>
        <v>February</v>
      </c>
      <c r="D41" t="s">
        <v>67</v>
      </c>
      <c r="E41" t="s">
        <v>69</v>
      </c>
      <c r="F41" t="s">
        <v>71</v>
      </c>
      <c r="G41" s="22">
        <v>202228</v>
      </c>
      <c r="H41">
        <v>13</v>
      </c>
      <c r="I41" t="s">
        <v>77</v>
      </c>
      <c r="J41">
        <f>COUNTIF(I:I,AssignmentTable3[[#This Row],[Rep]])</f>
        <v>18</v>
      </c>
    </row>
    <row r="42" spans="1:10" hidden="1" x14ac:dyDescent="0.3">
      <c r="A42">
        <v>10197</v>
      </c>
      <c r="B42" s="14">
        <v>45321</v>
      </c>
      <c r="C42" s="14" t="str">
        <f>TEXT(AssignmentTable3[[#This Row],[Date]],"mmmm")</f>
        <v>January</v>
      </c>
      <c r="D42" t="s">
        <v>67</v>
      </c>
      <c r="E42" t="s">
        <v>69</v>
      </c>
      <c r="F42" t="s">
        <v>72</v>
      </c>
      <c r="G42" s="22">
        <v>201815</v>
      </c>
      <c r="H42">
        <v>16</v>
      </c>
      <c r="I42" t="s">
        <v>78</v>
      </c>
      <c r="J42">
        <f>COUNTIF(I:I,AssignmentTable3[[#This Row],[Rep]])</f>
        <v>20</v>
      </c>
    </row>
    <row r="43" spans="1:10" hidden="1" x14ac:dyDescent="0.3">
      <c r="A43">
        <v>10177</v>
      </c>
      <c r="B43" s="14">
        <v>45309</v>
      </c>
      <c r="C43" s="14" t="str">
        <f>TEXT(AssignmentTable3[[#This Row],[Date]],"mmmm")</f>
        <v>January</v>
      </c>
      <c r="D43" t="s">
        <v>62</v>
      </c>
      <c r="E43" t="s">
        <v>70</v>
      </c>
      <c r="F43" t="s">
        <v>71</v>
      </c>
      <c r="G43" s="22">
        <v>201062</v>
      </c>
      <c r="H43">
        <v>28</v>
      </c>
      <c r="I43" t="s">
        <v>76</v>
      </c>
      <c r="J43">
        <f>COUNTIF(I:I,AssignmentTable3[[#This Row],[Rep]])</f>
        <v>26</v>
      </c>
    </row>
    <row r="44" spans="1:10" hidden="1" x14ac:dyDescent="0.3">
      <c r="A44">
        <v>10149</v>
      </c>
      <c r="B44" s="14">
        <v>45349</v>
      </c>
      <c r="C44" s="14" t="str">
        <f>TEXT(AssignmentTable3[[#This Row],[Date]],"mmmm")</f>
        <v>February</v>
      </c>
      <c r="D44" t="s">
        <v>66</v>
      </c>
      <c r="E44" t="s">
        <v>69</v>
      </c>
      <c r="F44" t="s">
        <v>72</v>
      </c>
      <c r="G44" s="22">
        <v>199191</v>
      </c>
      <c r="H44">
        <v>1</v>
      </c>
      <c r="I44" t="s">
        <v>78</v>
      </c>
      <c r="J44">
        <f>COUNTIF(I:I,AssignmentTable3[[#This Row],[Rep]])</f>
        <v>20</v>
      </c>
    </row>
    <row r="45" spans="1:10" hidden="1" x14ac:dyDescent="0.3">
      <c r="A45">
        <v>10128</v>
      </c>
      <c r="B45" s="14">
        <v>45330</v>
      </c>
      <c r="C45" s="14" t="str">
        <f>TEXT(AssignmentTable3[[#This Row],[Date]],"mmmm")</f>
        <v>February</v>
      </c>
      <c r="D45" t="s">
        <v>61</v>
      </c>
      <c r="E45" t="s">
        <v>70</v>
      </c>
      <c r="F45" t="s">
        <v>72</v>
      </c>
      <c r="G45" s="22">
        <v>196538</v>
      </c>
      <c r="H45">
        <v>25</v>
      </c>
      <c r="I45" t="s">
        <v>75</v>
      </c>
      <c r="J45">
        <f>COUNTIF(I:I,AssignmentTable3[[#This Row],[Rep]])</f>
        <v>24</v>
      </c>
    </row>
    <row r="46" spans="1:10" hidden="1" x14ac:dyDescent="0.3">
      <c r="A46">
        <v>10186</v>
      </c>
      <c r="B46" s="14">
        <v>45351</v>
      </c>
      <c r="C46" s="14" t="str">
        <f>TEXT(AssignmentTable3[[#This Row],[Date]],"mmmm")</f>
        <v>February</v>
      </c>
      <c r="D46" t="s">
        <v>60</v>
      </c>
      <c r="E46" t="s">
        <v>69</v>
      </c>
      <c r="F46" t="s">
        <v>72</v>
      </c>
      <c r="G46" s="22">
        <v>191456</v>
      </c>
      <c r="H46">
        <v>14</v>
      </c>
      <c r="I46" t="s">
        <v>76</v>
      </c>
      <c r="J46">
        <f>COUNTIF(I:I,AssignmentTable3[[#This Row],[Rep]])</f>
        <v>26</v>
      </c>
    </row>
    <row r="47" spans="1:10" hidden="1" x14ac:dyDescent="0.3">
      <c r="A47">
        <v>10183</v>
      </c>
      <c r="B47" s="14">
        <v>45298</v>
      </c>
      <c r="C47" s="14" t="str">
        <f>TEXT(AssignmentTable3[[#This Row],[Date]],"mmmm")</f>
        <v>January</v>
      </c>
      <c r="D47" t="s">
        <v>64</v>
      </c>
      <c r="E47" t="s">
        <v>70</v>
      </c>
      <c r="F47" t="s">
        <v>73</v>
      </c>
      <c r="G47" s="22">
        <v>181739</v>
      </c>
      <c r="H47">
        <v>24</v>
      </c>
      <c r="I47" t="s">
        <v>79</v>
      </c>
      <c r="J47">
        <f>COUNTIF(I:I,AssignmentTable3[[#This Row],[Rep]])</f>
        <v>12</v>
      </c>
    </row>
    <row r="48" spans="1:10" hidden="1" x14ac:dyDescent="0.3">
      <c r="A48">
        <v>10106</v>
      </c>
      <c r="B48" s="14">
        <v>45340</v>
      </c>
      <c r="C48" s="14" t="str">
        <f>TEXT(AssignmentTable3[[#This Row],[Date]],"mmmm")</f>
        <v>February</v>
      </c>
      <c r="D48" t="s">
        <v>62</v>
      </c>
      <c r="E48" t="s">
        <v>70</v>
      </c>
      <c r="F48" t="s">
        <v>73</v>
      </c>
      <c r="G48" s="22">
        <v>178889</v>
      </c>
      <c r="H48">
        <v>9</v>
      </c>
      <c r="I48" t="s">
        <v>75</v>
      </c>
      <c r="J48">
        <f>COUNTIF(I:I,AssignmentTable3[[#This Row],[Rep]])</f>
        <v>24</v>
      </c>
    </row>
    <row r="49" spans="1:10" hidden="1" x14ac:dyDescent="0.3">
      <c r="A49">
        <v>10138</v>
      </c>
      <c r="B49" s="14">
        <v>45306</v>
      </c>
      <c r="C49" s="14" t="str">
        <f>TEXT(AssignmentTable3[[#This Row],[Date]],"mmmm")</f>
        <v>January</v>
      </c>
      <c r="D49" t="s">
        <v>59</v>
      </c>
      <c r="E49" t="s">
        <v>69</v>
      </c>
      <c r="F49" t="s">
        <v>71</v>
      </c>
      <c r="G49" s="22">
        <v>173739</v>
      </c>
      <c r="H49">
        <v>3</v>
      </c>
      <c r="I49" t="s">
        <v>77</v>
      </c>
      <c r="J49">
        <f>COUNTIF(I:I,AssignmentTable3[[#This Row],[Rep]])</f>
        <v>18</v>
      </c>
    </row>
    <row r="50" spans="1:10" hidden="1" x14ac:dyDescent="0.3">
      <c r="A50">
        <v>10152</v>
      </c>
      <c r="B50" s="14">
        <v>45295</v>
      </c>
      <c r="C50" s="14" t="str">
        <f>TEXT(AssignmentTable3[[#This Row],[Date]],"mmmm")</f>
        <v>January</v>
      </c>
      <c r="D50" t="s">
        <v>64</v>
      </c>
      <c r="E50" t="s">
        <v>70</v>
      </c>
      <c r="F50" t="s">
        <v>71</v>
      </c>
      <c r="G50" s="22">
        <v>164919</v>
      </c>
      <c r="H50">
        <v>2</v>
      </c>
      <c r="I50" t="s">
        <v>76</v>
      </c>
      <c r="J50">
        <f>COUNTIF(I:I,AssignmentTable3[[#This Row],[Rep]])</f>
        <v>26</v>
      </c>
    </row>
    <row r="51" spans="1:10" hidden="1" x14ac:dyDescent="0.3">
      <c r="A51">
        <v>10134</v>
      </c>
      <c r="B51" s="14">
        <v>45319</v>
      </c>
      <c r="C51" s="14" t="str">
        <f>TEXT(AssignmentTable3[[#This Row],[Date]],"mmmm")</f>
        <v>January</v>
      </c>
      <c r="D51" t="s">
        <v>61</v>
      </c>
      <c r="E51" t="s">
        <v>70</v>
      </c>
      <c r="F51" t="s">
        <v>72</v>
      </c>
      <c r="G51" s="22">
        <v>163929</v>
      </c>
      <c r="H51">
        <v>13</v>
      </c>
      <c r="I51" t="s">
        <v>79</v>
      </c>
      <c r="J51">
        <f>COUNTIF(I:I,AssignmentTable3[[#This Row],[Rep]])</f>
        <v>12</v>
      </c>
    </row>
    <row r="52" spans="1:10" hidden="1" x14ac:dyDescent="0.3">
      <c r="A52">
        <v>10172</v>
      </c>
      <c r="B52" s="14">
        <v>45319</v>
      </c>
      <c r="C52" s="14" t="str">
        <f>TEXT(AssignmentTable3[[#This Row],[Date]],"mmmm")</f>
        <v>January</v>
      </c>
      <c r="D52" t="s">
        <v>62</v>
      </c>
      <c r="E52" t="s">
        <v>70</v>
      </c>
      <c r="F52" t="s">
        <v>71</v>
      </c>
      <c r="G52" s="22">
        <v>162116</v>
      </c>
      <c r="H52">
        <v>12</v>
      </c>
      <c r="I52" t="s">
        <v>76</v>
      </c>
      <c r="J52">
        <f>COUNTIF(I:I,AssignmentTable3[[#This Row],[Rep]])</f>
        <v>26</v>
      </c>
    </row>
    <row r="53" spans="1:10" hidden="1" x14ac:dyDescent="0.3">
      <c r="A53">
        <v>10130</v>
      </c>
      <c r="B53" s="14">
        <v>45293</v>
      </c>
      <c r="C53" s="14" t="str">
        <f>TEXT(AssignmentTable3[[#This Row],[Date]],"mmmm")</f>
        <v>January</v>
      </c>
      <c r="D53" t="s">
        <v>59</v>
      </c>
      <c r="E53" t="s">
        <v>69</v>
      </c>
      <c r="F53" t="s">
        <v>74</v>
      </c>
      <c r="G53" s="22">
        <v>161725</v>
      </c>
      <c r="H53">
        <v>8</v>
      </c>
      <c r="I53" t="s">
        <v>76</v>
      </c>
      <c r="J53">
        <f>COUNTIF(I:I,AssignmentTable3[[#This Row],[Rep]])</f>
        <v>26</v>
      </c>
    </row>
    <row r="54" spans="1:10" hidden="1" x14ac:dyDescent="0.3">
      <c r="A54">
        <v>10112</v>
      </c>
      <c r="B54" s="14">
        <v>45347</v>
      </c>
      <c r="C54" s="14" t="str">
        <f>TEXT(AssignmentTable3[[#This Row],[Date]],"mmmm")</f>
        <v>February</v>
      </c>
      <c r="D54" t="s">
        <v>59</v>
      </c>
      <c r="E54" t="s">
        <v>69</v>
      </c>
      <c r="F54" t="s">
        <v>73</v>
      </c>
      <c r="G54" s="22">
        <v>146238</v>
      </c>
      <c r="H54">
        <v>15</v>
      </c>
      <c r="I54" t="s">
        <v>79</v>
      </c>
      <c r="J54">
        <f>COUNTIF(I:I,AssignmentTable3[[#This Row],[Rep]])</f>
        <v>12</v>
      </c>
    </row>
    <row r="55" spans="1:10" hidden="1" x14ac:dyDescent="0.3">
      <c r="A55">
        <v>10101</v>
      </c>
      <c r="B55" s="14">
        <v>45332</v>
      </c>
      <c r="C55" s="14" t="str">
        <f>TEXT(AssignmentTable3[[#This Row],[Date]],"mmmm")</f>
        <v>February</v>
      </c>
      <c r="D55" t="s">
        <v>59</v>
      </c>
      <c r="E55" t="s">
        <v>69</v>
      </c>
      <c r="F55" t="s">
        <v>71</v>
      </c>
      <c r="G55" s="22">
        <v>144694</v>
      </c>
      <c r="H55">
        <v>8</v>
      </c>
      <c r="I55" t="s">
        <v>75</v>
      </c>
      <c r="J55">
        <f>COUNTIF(I:I,AssignmentTable3[[#This Row],[Rep]])</f>
        <v>24</v>
      </c>
    </row>
    <row r="56" spans="1:10" hidden="1" x14ac:dyDescent="0.3">
      <c r="A56">
        <v>10165</v>
      </c>
      <c r="B56" s="14">
        <v>45339</v>
      </c>
      <c r="C56" s="14" t="str">
        <f>TEXT(AssignmentTable3[[#This Row],[Date]],"mmmm")</f>
        <v>February</v>
      </c>
      <c r="D56" t="s">
        <v>60</v>
      </c>
      <c r="E56" t="s">
        <v>69</v>
      </c>
      <c r="F56" t="s">
        <v>72</v>
      </c>
      <c r="G56" s="22">
        <v>143288</v>
      </c>
      <c r="H56">
        <v>10</v>
      </c>
      <c r="I56" t="s">
        <v>77</v>
      </c>
      <c r="J56">
        <f>COUNTIF(I:I,AssignmentTable3[[#This Row],[Rep]])</f>
        <v>18</v>
      </c>
    </row>
    <row r="57" spans="1:10" hidden="1" x14ac:dyDescent="0.3">
      <c r="A57">
        <v>10115</v>
      </c>
      <c r="B57" s="14">
        <v>45302</v>
      </c>
      <c r="C57" s="14" t="str">
        <f>TEXT(AssignmentTable3[[#This Row],[Date]],"mmmm")</f>
        <v>January</v>
      </c>
      <c r="D57" t="s">
        <v>65</v>
      </c>
      <c r="E57" t="s">
        <v>70</v>
      </c>
      <c r="F57" t="s">
        <v>73</v>
      </c>
      <c r="G57" s="22">
        <v>142030</v>
      </c>
      <c r="H57">
        <v>30</v>
      </c>
      <c r="I57" t="s">
        <v>77</v>
      </c>
      <c r="J57">
        <f>COUNTIF(I:I,AssignmentTable3[[#This Row],[Rep]])</f>
        <v>18</v>
      </c>
    </row>
    <row r="58" spans="1:10" hidden="1" x14ac:dyDescent="0.3">
      <c r="A58">
        <v>10117</v>
      </c>
      <c r="B58" s="14">
        <v>45343</v>
      </c>
      <c r="C58" s="14" t="str">
        <f>TEXT(AssignmentTable3[[#This Row],[Date]],"mmmm")</f>
        <v>February</v>
      </c>
      <c r="D58" t="s">
        <v>63</v>
      </c>
      <c r="E58" t="s">
        <v>70</v>
      </c>
      <c r="F58" t="s">
        <v>73</v>
      </c>
      <c r="G58" s="22">
        <v>140873</v>
      </c>
      <c r="H58">
        <v>3</v>
      </c>
      <c r="I58" t="s">
        <v>75</v>
      </c>
      <c r="J58">
        <f>COUNTIF(I:I,AssignmentTable3[[#This Row],[Rep]])</f>
        <v>24</v>
      </c>
    </row>
    <row r="59" spans="1:10" hidden="1" x14ac:dyDescent="0.3">
      <c r="A59">
        <v>10133</v>
      </c>
      <c r="B59" s="14">
        <v>45352</v>
      </c>
      <c r="C59" s="14" t="str">
        <f>TEXT(AssignmentTable3[[#This Row],[Date]],"mmmm")</f>
        <v>March</v>
      </c>
      <c r="D59" t="s">
        <v>60</v>
      </c>
      <c r="E59" t="s">
        <v>69</v>
      </c>
      <c r="F59" t="s">
        <v>72</v>
      </c>
      <c r="G59" s="22">
        <v>139466</v>
      </c>
      <c r="H59">
        <v>17</v>
      </c>
      <c r="I59" t="s">
        <v>77</v>
      </c>
      <c r="J59">
        <f>COUNTIF(I:I,AssignmentTable3[[#This Row],[Rep]])</f>
        <v>18</v>
      </c>
    </row>
    <row r="60" spans="1:10" hidden="1" x14ac:dyDescent="0.3">
      <c r="A60">
        <v>10119</v>
      </c>
      <c r="B60" s="14">
        <v>45317</v>
      </c>
      <c r="C60" s="14" t="str">
        <f>TEXT(AssignmentTable3[[#This Row],[Date]],"mmmm")</f>
        <v>January</v>
      </c>
      <c r="D60" t="s">
        <v>65</v>
      </c>
      <c r="E60" t="s">
        <v>70</v>
      </c>
      <c r="F60" t="s">
        <v>72</v>
      </c>
      <c r="G60" s="22">
        <v>139373</v>
      </c>
      <c r="H60">
        <v>5</v>
      </c>
      <c r="I60" t="s">
        <v>75</v>
      </c>
      <c r="J60">
        <f>COUNTIF(I:I,AssignmentTable3[[#This Row],[Rep]])</f>
        <v>24</v>
      </c>
    </row>
    <row r="61" spans="1:10" hidden="1" x14ac:dyDescent="0.3">
      <c r="A61">
        <v>10173</v>
      </c>
      <c r="B61" s="14">
        <v>45349</v>
      </c>
      <c r="C61" s="14" t="str">
        <f>TEXT(AssignmentTable3[[#This Row],[Date]],"mmmm")</f>
        <v>February</v>
      </c>
      <c r="D61" t="s">
        <v>63</v>
      </c>
      <c r="E61" t="s">
        <v>70</v>
      </c>
      <c r="F61" t="s">
        <v>72</v>
      </c>
      <c r="G61" s="22">
        <v>131325</v>
      </c>
      <c r="H61">
        <v>22</v>
      </c>
      <c r="I61" t="s">
        <v>76</v>
      </c>
      <c r="J61">
        <f>COUNTIF(I:I,AssignmentTable3[[#This Row],[Rep]])</f>
        <v>26</v>
      </c>
    </row>
    <row r="62" spans="1:10" hidden="1" x14ac:dyDescent="0.3">
      <c r="A62">
        <v>10140</v>
      </c>
      <c r="B62" s="14">
        <v>45338</v>
      </c>
      <c r="C62" s="14" t="str">
        <f>TEXT(AssignmentTable3[[#This Row],[Date]],"mmmm")</f>
        <v>February</v>
      </c>
      <c r="D62" t="s">
        <v>64</v>
      </c>
      <c r="E62" t="s">
        <v>70</v>
      </c>
      <c r="F62" t="s">
        <v>73</v>
      </c>
      <c r="G62" s="22">
        <v>127900</v>
      </c>
      <c r="H62">
        <v>26</v>
      </c>
      <c r="I62" t="s">
        <v>78</v>
      </c>
      <c r="J62">
        <f>COUNTIF(I:I,AssignmentTable3[[#This Row],[Rep]])</f>
        <v>20</v>
      </c>
    </row>
    <row r="63" spans="1:10" hidden="1" x14ac:dyDescent="0.3">
      <c r="A63">
        <v>10103</v>
      </c>
      <c r="B63" s="14">
        <v>45293</v>
      </c>
      <c r="C63" s="14" t="str">
        <f>TEXT(AssignmentTable3[[#This Row],[Date]],"mmmm")</f>
        <v>January</v>
      </c>
      <c r="D63" t="s">
        <v>59</v>
      </c>
      <c r="E63" t="s">
        <v>69</v>
      </c>
      <c r="F63" t="s">
        <v>72</v>
      </c>
      <c r="G63" s="22">
        <v>122481</v>
      </c>
      <c r="H63">
        <v>17</v>
      </c>
      <c r="I63" t="s">
        <v>77</v>
      </c>
      <c r="J63">
        <f>COUNTIF(I:I,AssignmentTable3[[#This Row],[Rep]])</f>
        <v>18</v>
      </c>
    </row>
    <row r="64" spans="1:10" hidden="1" x14ac:dyDescent="0.3">
      <c r="A64">
        <v>10116</v>
      </c>
      <c r="B64" s="14">
        <v>45306</v>
      </c>
      <c r="C64" s="14" t="str">
        <f>TEXT(AssignmentTable3[[#This Row],[Date]],"mmmm")</f>
        <v>January</v>
      </c>
      <c r="D64" t="s">
        <v>63</v>
      </c>
      <c r="E64" t="s">
        <v>70</v>
      </c>
      <c r="F64" t="s">
        <v>71</v>
      </c>
      <c r="G64" s="22">
        <v>120587</v>
      </c>
      <c r="H64">
        <v>27</v>
      </c>
      <c r="I64" t="s">
        <v>76</v>
      </c>
      <c r="J64">
        <f>COUNTIF(I:I,AssignmentTable3[[#This Row],[Rep]])</f>
        <v>26</v>
      </c>
    </row>
    <row r="65" spans="1:10" hidden="1" x14ac:dyDescent="0.3">
      <c r="A65">
        <v>10179</v>
      </c>
      <c r="B65" s="14">
        <v>45314</v>
      </c>
      <c r="C65" s="14" t="str">
        <f>TEXT(AssignmentTable3[[#This Row],[Date]],"mmmm")</f>
        <v>January</v>
      </c>
      <c r="D65" t="s">
        <v>68</v>
      </c>
      <c r="E65" t="s">
        <v>69</v>
      </c>
      <c r="F65" t="s">
        <v>72</v>
      </c>
      <c r="G65" s="22">
        <v>117376</v>
      </c>
      <c r="H65">
        <v>1</v>
      </c>
      <c r="I65" t="s">
        <v>75</v>
      </c>
      <c r="J65">
        <f>COUNTIF(I:I,AssignmentTable3[[#This Row],[Rep]])</f>
        <v>24</v>
      </c>
    </row>
    <row r="66" spans="1:10" hidden="1" x14ac:dyDescent="0.3">
      <c r="A66">
        <v>10139</v>
      </c>
      <c r="B66" s="14">
        <v>45307</v>
      </c>
      <c r="C66" s="14" t="str">
        <f>TEXT(AssignmentTable3[[#This Row],[Date]],"mmmm")</f>
        <v>January</v>
      </c>
      <c r="D66" t="s">
        <v>68</v>
      </c>
      <c r="E66" t="s">
        <v>69</v>
      </c>
      <c r="F66" t="s">
        <v>73</v>
      </c>
      <c r="G66" s="22">
        <v>112821</v>
      </c>
      <c r="H66">
        <v>18</v>
      </c>
      <c r="I66" t="s">
        <v>75</v>
      </c>
      <c r="J66">
        <f>COUNTIF(I:I,AssignmentTable3[[#This Row],[Rep]])</f>
        <v>24</v>
      </c>
    </row>
    <row r="67" spans="1:10" hidden="1" x14ac:dyDescent="0.3">
      <c r="A67">
        <v>10118</v>
      </c>
      <c r="B67" s="14">
        <v>45350</v>
      </c>
      <c r="C67" s="14" t="str">
        <f>TEXT(AssignmentTable3[[#This Row],[Date]],"mmmm")</f>
        <v>February</v>
      </c>
      <c r="D67" t="s">
        <v>64</v>
      </c>
      <c r="E67" t="s">
        <v>70</v>
      </c>
      <c r="F67" t="s">
        <v>74</v>
      </c>
      <c r="G67" s="22">
        <v>111977</v>
      </c>
      <c r="H67">
        <v>21</v>
      </c>
      <c r="I67" t="s">
        <v>78</v>
      </c>
      <c r="J67">
        <f>COUNTIF(I:I,AssignmentTable3[[#This Row],[Rep]])</f>
        <v>20</v>
      </c>
    </row>
    <row r="68" spans="1:10" hidden="1" x14ac:dyDescent="0.3">
      <c r="A68">
        <v>10113</v>
      </c>
      <c r="B68" s="14">
        <v>45302</v>
      </c>
      <c r="C68" s="14" t="str">
        <f>TEXT(AssignmentTable3[[#This Row],[Date]],"mmmm")</f>
        <v>January</v>
      </c>
      <c r="D68" t="s">
        <v>63</v>
      </c>
      <c r="E68" t="s">
        <v>70</v>
      </c>
      <c r="F68" t="s">
        <v>74</v>
      </c>
      <c r="G68" s="22">
        <v>110342</v>
      </c>
      <c r="H68">
        <v>22</v>
      </c>
      <c r="I68" t="s">
        <v>79</v>
      </c>
      <c r="J68">
        <f>COUNTIF(I:I,AssignmentTable3[[#This Row],[Rep]])</f>
        <v>12</v>
      </c>
    </row>
    <row r="69" spans="1:10" hidden="1" x14ac:dyDescent="0.3">
      <c r="A69">
        <v>10157</v>
      </c>
      <c r="B69" s="14">
        <v>45325</v>
      </c>
      <c r="C69" s="14" t="str">
        <f>TEXT(AssignmentTable3[[#This Row],[Date]],"mmmm")</f>
        <v>February</v>
      </c>
      <c r="D69" t="s">
        <v>63</v>
      </c>
      <c r="E69" t="s">
        <v>70</v>
      </c>
      <c r="F69" t="s">
        <v>74</v>
      </c>
      <c r="G69" s="22">
        <v>107590</v>
      </c>
      <c r="H69">
        <v>22</v>
      </c>
      <c r="I69" t="s">
        <v>79</v>
      </c>
      <c r="J69">
        <f>COUNTIF(I:I,AssignmentTable3[[#This Row],[Rep]])</f>
        <v>12</v>
      </c>
    </row>
    <row r="70" spans="1:10" hidden="1" x14ac:dyDescent="0.3">
      <c r="A70">
        <v>10178</v>
      </c>
      <c r="B70" s="14">
        <v>45346</v>
      </c>
      <c r="C70" s="14" t="str">
        <f>TEXT(AssignmentTable3[[#This Row],[Date]],"mmmm")</f>
        <v>February</v>
      </c>
      <c r="D70" t="s">
        <v>65</v>
      </c>
      <c r="E70" t="s">
        <v>70</v>
      </c>
      <c r="F70" t="s">
        <v>72</v>
      </c>
      <c r="G70" s="22">
        <v>105133</v>
      </c>
      <c r="H70">
        <v>27</v>
      </c>
      <c r="I70" t="s">
        <v>78</v>
      </c>
      <c r="J70">
        <f>COUNTIF(I:I,AssignmentTable3[[#This Row],[Rep]])</f>
        <v>20</v>
      </c>
    </row>
    <row r="71" spans="1:10" hidden="1" x14ac:dyDescent="0.3">
      <c r="A71">
        <v>10195</v>
      </c>
      <c r="B71" s="14">
        <v>45335</v>
      </c>
      <c r="C71" s="14" t="str">
        <f>TEXT(AssignmentTable3[[#This Row],[Date]],"mmmm")</f>
        <v>February</v>
      </c>
      <c r="D71" t="s">
        <v>68</v>
      </c>
      <c r="E71" t="s">
        <v>69</v>
      </c>
      <c r="F71" t="s">
        <v>72</v>
      </c>
      <c r="G71" s="22">
        <v>104901</v>
      </c>
      <c r="H71">
        <v>5</v>
      </c>
      <c r="I71" t="s">
        <v>76</v>
      </c>
      <c r="J71">
        <f>COUNTIF(I:I,AssignmentTable3[[#This Row],[Rep]])</f>
        <v>26</v>
      </c>
    </row>
    <row r="72" spans="1:10" hidden="1" x14ac:dyDescent="0.3">
      <c r="A72">
        <v>10189</v>
      </c>
      <c r="B72" s="14">
        <v>45336</v>
      </c>
      <c r="C72" s="14" t="str">
        <f>TEXT(AssignmentTable3[[#This Row],[Date]],"mmmm")</f>
        <v>February</v>
      </c>
      <c r="D72" t="s">
        <v>68</v>
      </c>
      <c r="E72" t="s">
        <v>69</v>
      </c>
      <c r="F72" t="s">
        <v>72</v>
      </c>
      <c r="G72" s="22">
        <v>101079</v>
      </c>
      <c r="H72">
        <v>14</v>
      </c>
      <c r="I72" t="s">
        <v>78</v>
      </c>
      <c r="J72">
        <f>COUNTIF(I:I,AssignmentTable3[[#This Row],[Rep]])</f>
        <v>20</v>
      </c>
    </row>
    <row r="73" spans="1:10" hidden="1" x14ac:dyDescent="0.3">
      <c r="A73">
        <v>10144</v>
      </c>
      <c r="B73" s="14">
        <v>45343</v>
      </c>
      <c r="C73" s="14" t="str">
        <f>TEXT(AssignmentTable3[[#This Row],[Date]],"mmmm")</f>
        <v>February</v>
      </c>
      <c r="D73" t="s">
        <v>59</v>
      </c>
      <c r="E73" t="s">
        <v>69</v>
      </c>
      <c r="F73" t="s">
        <v>72</v>
      </c>
      <c r="G73" s="22">
        <v>100948</v>
      </c>
      <c r="H73">
        <v>7</v>
      </c>
      <c r="I73" t="s">
        <v>77</v>
      </c>
      <c r="J73">
        <f>COUNTIF(I:I,AssignmentTable3[[#This Row],[Rep]])</f>
        <v>18</v>
      </c>
    </row>
    <row r="74" spans="1:10" hidden="1" x14ac:dyDescent="0.3">
      <c r="A74">
        <v>10151</v>
      </c>
      <c r="B74" s="14">
        <v>45334</v>
      </c>
      <c r="C74" s="14" t="str">
        <f>TEXT(AssignmentTable3[[#This Row],[Date]],"mmmm")</f>
        <v>February</v>
      </c>
      <c r="D74" t="s">
        <v>65</v>
      </c>
      <c r="E74" t="s">
        <v>70</v>
      </c>
      <c r="F74" t="s">
        <v>72</v>
      </c>
      <c r="G74" s="22">
        <v>100061</v>
      </c>
      <c r="H74">
        <v>10</v>
      </c>
      <c r="I74" t="s">
        <v>75</v>
      </c>
      <c r="J74">
        <f>COUNTIF(I:I,AssignmentTable3[[#This Row],[Rep]])</f>
        <v>24</v>
      </c>
    </row>
    <row r="75" spans="1:10" hidden="1" x14ac:dyDescent="0.3">
      <c r="A75">
        <v>10145</v>
      </c>
      <c r="B75" s="14">
        <v>45320</v>
      </c>
      <c r="C75" s="14" t="str">
        <f>TEXT(AssignmentTable3[[#This Row],[Date]],"mmmm")</f>
        <v>January</v>
      </c>
      <c r="D75" t="s">
        <v>62</v>
      </c>
      <c r="E75" t="s">
        <v>70</v>
      </c>
      <c r="F75" t="s">
        <v>73</v>
      </c>
      <c r="G75" s="22">
        <v>96700</v>
      </c>
      <c r="H75">
        <v>9</v>
      </c>
      <c r="I75" t="s">
        <v>78</v>
      </c>
      <c r="J75">
        <f>COUNTIF(I:I,AssignmentTable3[[#This Row],[Rep]])</f>
        <v>20</v>
      </c>
    </row>
    <row r="76" spans="1:10" hidden="1" x14ac:dyDescent="0.3">
      <c r="A76">
        <v>10175</v>
      </c>
      <c r="B76" s="14">
        <v>45351</v>
      </c>
      <c r="C76" s="14" t="str">
        <f>TEXT(AssignmentTable3[[#This Row],[Date]],"mmmm")</f>
        <v>February</v>
      </c>
      <c r="D76" t="s">
        <v>61</v>
      </c>
      <c r="E76" t="s">
        <v>70</v>
      </c>
      <c r="F76" t="s">
        <v>72</v>
      </c>
      <c r="G76" s="22">
        <v>93326</v>
      </c>
      <c r="H76">
        <v>29</v>
      </c>
      <c r="I76" t="s">
        <v>78</v>
      </c>
      <c r="J76">
        <f>COUNTIF(I:I,AssignmentTable3[[#This Row],[Rep]])</f>
        <v>20</v>
      </c>
    </row>
    <row r="77" spans="1:10" hidden="1" x14ac:dyDescent="0.3">
      <c r="A77">
        <v>10122</v>
      </c>
      <c r="B77" s="14">
        <v>45297</v>
      </c>
      <c r="C77" s="14" t="str">
        <f>TEXT(AssignmentTable3[[#This Row],[Date]],"mmmm")</f>
        <v>January</v>
      </c>
      <c r="D77" t="s">
        <v>66</v>
      </c>
      <c r="E77" t="s">
        <v>69</v>
      </c>
      <c r="F77" t="s">
        <v>71</v>
      </c>
      <c r="G77" s="22">
        <v>80632</v>
      </c>
      <c r="H77">
        <v>21</v>
      </c>
      <c r="I77" t="s">
        <v>75</v>
      </c>
      <c r="J77">
        <f>COUNTIF(I:I,AssignmentTable3[[#This Row],[Rep]])</f>
        <v>24</v>
      </c>
    </row>
    <row r="78" spans="1:10" hidden="1" x14ac:dyDescent="0.3">
      <c r="A78">
        <v>10121</v>
      </c>
      <c r="B78" s="14">
        <v>45317</v>
      </c>
      <c r="C78" s="14" t="str">
        <f>TEXT(AssignmentTable3[[#This Row],[Date]],"mmmm")</f>
        <v>January</v>
      </c>
      <c r="D78" t="s">
        <v>63</v>
      </c>
      <c r="E78" t="s">
        <v>70</v>
      </c>
      <c r="F78" t="s">
        <v>72</v>
      </c>
      <c r="G78" s="22">
        <v>73025</v>
      </c>
      <c r="H78">
        <v>17</v>
      </c>
      <c r="I78" t="s">
        <v>78</v>
      </c>
      <c r="J78">
        <f>COUNTIF(I:I,AssignmentTable3[[#This Row],[Rep]])</f>
        <v>20</v>
      </c>
    </row>
    <row r="79" spans="1:10" hidden="1" x14ac:dyDescent="0.3">
      <c r="A79">
        <v>10200</v>
      </c>
      <c r="B79" s="14">
        <v>45350</v>
      </c>
      <c r="C79" s="14" t="str">
        <f>TEXT(AssignmentTable3[[#This Row],[Date]],"mmmm")</f>
        <v>February</v>
      </c>
      <c r="D79" t="s">
        <v>59</v>
      </c>
      <c r="E79" t="s">
        <v>69</v>
      </c>
      <c r="F79" t="s">
        <v>73</v>
      </c>
      <c r="G79" s="22">
        <v>70408</v>
      </c>
      <c r="H79">
        <v>26</v>
      </c>
      <c r="I79" t="s">
        <v>78</v>
      </c>
      <c r="J79">
        <f>COUNTIF(I:I,AssignmentTable3[[#This Row],[Rep]])</f>
        <v>20</v>
      </c>
    </row>
    <row r="80" spans="1:10" hidden="1" x14ac:dyDescent="0.3">
      <c r="A80">
        <v>10158</v>
      </c>
      <c r="B80" s="14">
        <v>45307</v>
      </c>
      <c r="C80" s="14" t="str">
        <f>TEXT(AssignmentTable3[[#This Row],[Date]],"mmmm")</f>
        <v>January</v>
      </c>
      <c r="D80" t="s">
        <v>68</v>
      </c>
      <c r="E80" t="s">
        <v>69</v>
      </c>
      <c r="F80" t="s">
        <v>73</v>
      </c>
      <c r="G80" s="22">
        <v>69117</v>
      </c>
      <c r="H80">
        <v>22</v>
      </c>
      <c r="I80" t="s">
        <v>79</v>
      </c>
      <c r="J80">
        <f>COUNTIF(I:I,AssignmentTable3[[#This Row],[Rep]])</f>
        <v>12</v>
      </c>
    </row>
    <row r="81" spans="1:10" hidden="1" x14ac:dyDescent="0.3">
      <c r="A81">
        <v>10132</v>
      </c>
      <c r="B81" s="14">
        <v>45344</v>
      </c>
      <c r="C81" s="14" t="str">
        <f>TEXT(AssignmentTable3[[#This Row],[Date]],"mmmm")</f>
        <v>February</v>
      </c>
      <c r="D81" t="s">
        <v>59</v>
      </c>
      <c r="E81" t="s">
        <v>69</v>
      </c>
      <c r="F81" t="s">
        <v>72</v>
      </c>
      <c r="G81" s="22">
        <v>67814</v>
      </c>
      <c r="H81">
        <v>22</v>
      </c>
      <c r="I81" t="s">
        <v>78</v>
      </c>
      <c r="J81">
        <f>COUNTIF(I:I,AssignmentTable3[[#This Row],[Rep]])</f>
        <v>20</v>
      </c>
    </row>
    <row r="82" spans="1:10" hidden="1" x14ac:dyDescent="0.3">
      <c r="A82">
        <v>10135</v>
      </c>
      <c r="B82" s="14">
        <v>45320</v>
      </c>
      <c r="C82" s="14" t="str">
        <f>TEXT(AssignmentTable3[[#This Row],[Date]],"mmmm")</f>
        <v>January</v>
      </c>
      <c r="D82" t="s">
        <v>60</v>
      </c>
      <c r="E82" t="s">
        <v>69</v>
      </c>
      <c r="F82" t="s">
        <v>73</v>
      </c>
      <c r="G82" s="22">
        <v>63941</v>
      </c>
      <c r="H82">
        <v>8</v>
      </c>
      <c r="I82" t="s">
        <v>75</v>
      </c>
      <c r="J82">
        <f>COUNTIF(I:I,AssignmentTable3[[#This Row],[Rep]])</f>
        <v>24</v>
      </c>
    </row>
    <row r="83" spans="1:10" hidden="1" x14ac:dyDescent="0.3">
      <c r="A83">
        <v>10164</v>
      </c>
      <c r="B83" s="14">
        <v>45352</v>
      </c>
      <c r="C83" s="14" t="str">
        <f>TEXT(AssignmentTable3[[#This Row],[Date]],"mmmm")</f>
        <v>March</v>
      </c>
      <c r="D83" t="s">
        <v>62</v>
      </c>
      <c r="E83" t="s">
        <v>70</v>
      </c>
      <c r="F83" t="s">
        <v>74</v>
      </c>
      <c r="G83" s="22">
        <v>61017</v>
      </c>
      <c r="H83">
        <v>29</v>
      </c>
      <c r="I83" t="s">
        <v>76</v>
      </c>
      <c r="J83">
        <f>COUNTIF(I:I,AssignmentTable3[[#This Row],[Rep]])</f>
        <v>26</v>
      </c>
    </row>
    <row r="84" spans="1:10" hidden="1" x14ac:dyDescent="0.3">
      <c r="A84">
        <v>10198</v>
      </c>
      <c r="B84" s="14">
        <v>45307</v>
      </c>
      <c r="C84" s="14" t="str">
        <f>TEXT(AssignmentTable3[[#This Row],[Date]],"mmmm")</f>
        <v>January</v>
      </c>
      <c r="D84" t="s">
        <v>62</v>
      </c>
      <c r="E84" t="s">
        <v>70</v>
      </c>
      <c r="F84" t="s">
        <v>71</v>
      </c>
      <c r="G84" s="22">
        <v>56382</v>
      </c>
      <c r="H84">
        <v>25</v>
      </c>
      <c r="I84" t="s">
        <v>78</v>
      </c>
      <c r="J84">
        <f>COUNTIF(I:I,AssignmentTable3[[#This Row],[Rep]])</f>
        <v>20</v>
      </c>
    </row>
    <row r="85" spans="1:10" hidden="1" x14ac:dyDescent="0.3">
      <c r="A85">
        <v>10141</v>
      </c>
      <c r="B85" s="14">
        <v>45343</v>
      </c>
      <c r="C85" s="14" t="str">
        <f>TEXT(AssignmentTable3[[#This Row],[Date]],"mmmm")</f>
        <v>February</v>
      </c>
      <c r="D85" t="s">
        <v>67</v>
      </c>
      <c r="E85" t="s">
        <v>69</v>
      </c>
      <c r="F85" t="s">
        <v>72</v>
      </c>
      <c r="G85" s="22">
        <v>49953</v>
      </c>
      <c r="H85">
        <v>4</v>
      </c>
      <c r="I85" t="s">
        <v>78</v>
      </c>
      <c r="J85">
        <f>COUNTIF(I:I,AssignmentTable3[[#This Row],[Rep]])</f>
        <v>20</v>
      </c>
    </row>
    <row r="86" spans="1:10" hidden="1" x14ac:dyDescent="0.3">
      <c r="A86">
        <v>10194</v>
      </c>
      <c r="B86" s="14">
        <v>45324</v>
      </c>
      <c r="C86" s="14" t="str">
        <f>TEXT(AssignmentTable3[[#This Row],[Date]],"mmmm")</f>
        <v>February</v>
      </c>
      <c r="D86" t="s">
        <v>64</v>
      </c>
      <c r="E86" t="s">
        <v>70</v>
      </c>
      <c r="F86" t="s">
        <v>74</v>
      </c>
      <c r="G86" s="22">
        <v>49461</v>
      </c>
      <c r="H86">
        <v>27</v>
      </c>
      <c r="I86" t="s">
        <v>75</v>
      </c>
      <c r="J86">
        <f>COUNTIF(I:I,AssignmentTable3[[#This Row],[Rep]])</f>
        <v>24</v>
      </c>
    </row>
    <row r="87" spans="1:10" hidden="1" x14ac:dyDescent="0.3">
      <c r="A87">
        <v>10147</v>
      </c>
      <c r="B87" s="14">
        <v>45333</v>
      </c>
      <c r="C87" s="14" t="str">
        <f>TEXT(AssignmentTable3[[#This Row],[Date]],"mmmm")</f>
        <v>February</v>
      </c>
      <c r="D87" t="s">
        <v>60</v>
      </c>
      <c r="E87" t="s">
        <v>69</v>
      </c>
      <c r="F87" t="s">
        <v>71</v>
      </c>
      <c r="G87" s="22">
        <v>49396</v>
      </c>
      <c r="H87">
        <v>30</v>
      </c>
      <c r="I87" t="s">
        <v>75</v>
      </c>
      <c r="J87">
        <f>COUNTIF(I:I,AssignmentTable3[[#This Row],[Rep]])</f>
        <v>24</v>
      </c>
    </row>
    <row r="88" spans="1:10" hidden="1" x14ac:dyDescent="0.3">
      <c r="A88">
        <v>10107</v>
      </c>
      <c r="B88" s="14">
        <v>45305</v>
      </c>
      <c r="C88" s="14" t="str">
        <f>TEXT(AssignmentTable3[[#This Row],[Date]],"mmmm")</f>
        <v>January</v>
      </c>
      <c r="D88" t="s">
        <v>63</v>
      </c>
      <c r="E88" t="s">
        <v>70</v>
      </c>
      <c r="F88" t="s">
        <v>71</v>
      </c>
      <c r="G88" s="22">
        <v>49125</v>
      </c>
      <c r="H88">
        <v>13</v>
      </c>
      <c r="I88" t="s">
        <v>76</v>
      </c>
      <c r="J88">
        <f>COUNTIF(I:I,AssignmentTable3[[#This Row],[Rep]])</f>
        <v>26</v>
      </c>
    </row>
    <row r="89" spans="1:10" hidden="1" x14ac:dyDescent="0.3">
      <c r="A89">
        <v>10131</v>
      </c>
      <c r="B89" s="14">
        <v>45307</v>
      </c>
      <c r="C89" s="14" t="str">
        <f>TEXT(AssignmentTable3[[#This Row],[Date]],"mmmm")</f>
        <v>January</v>
      </c>
      <c r="D89" t="s">
        <v>64</v>
      </c>
      <c r="E89" t="s">
        <v>70</v>
      </c>
      <c r="F89" t="s">
        <v>71</v>
      </c>
      <c r="G89" s="22">
        <v>45407</v>
      </c>
      <c r="H89">
        <v>24</v>
      </c>
      <c r="I89" t="s">
        <v>78</v>
      </c>
      <c r="J89">
        <f>COUNTIF(I:I,AssignmentTable3[[#This Row],[Rep]])</f>
        <v>20</v>
      </c>
    </row>
    <row r="90" spans="1:10" hidden="1" x14ac:dyDescent="0.3">
      <c r="A90">
        <v>10111</v>
      </c>
      <c r="B90" s="14">
        <v>45294</v>
      </c>
      <c r="C90" s="14" t="str">
        <f>TEXT(AssignmentTable3[[#This Row],[Date]],"mmmm")</f>
        <v>January</v>
      </c>
      <c r="D90" t="s">
        <v>61</v>
      </c>
      <c r="E90" t="s">
        <v>70</v>
      </c>
      <c r="F90" t="s">
        <v>74</v>
      </c>
      <c r="G90" s="22">
        <v>42333</v>
      </c>
      <c r="H90">
        <v>28</v>
      </c>
      <c r="I90" t="s">
        <v>75</v>
      </c>
      <c r="J90">
        <f>COUNTIF(I:I,AssignmentTable3[[#This Row],[Rep]])</f>
        <v>24</v>
      </c>
    </row>
    <row r="91" spans="1:10" hidden="1" x14ac:dyDescent="0.3">
      <c r="A91">
        <v>10109</v>
      </c>
      <c r="B91" s="14">
        <v>45326</v>
      </c>
      <c r="C91" s="14" t="str">
        <f>TEXT(AssignmentTable3[[#This Row],[Date]],"mmmm")</f>
        <v>February</v>
      </c>
      <c r="D91" t="s">
        <v>59</v>
      </c>
      <c r="E91" t="s">
        <v>69</v>
      </c>
      <c r="F91" t="s">
        <v>73</v>
      </c>
      <c r="G91" s="22">
        <v>41813</v>
      </c>
      <c r="H91">
        <v>18</v>
      </c>
      <c r="I91" t="s">
        <v>79</v>
      </c>
      <c r="J91">
        <f>COUNTIF(I:I,AssignmentTable3[[#This Row],[Rep]])</f>
        <v>12</v>
      </c>
    </row>
    <row r="92" spans="1:10" hidden="1" x14ac:dyDescent="0.3">
      <c r="A92">
        <v>10170</v>
      </c>
      <c r="B92" s="14">
        <v>45327</v>
      </c>
      <c r="C92" s="14" t="str">
        <f>TEXT(AssignmentTable3[[#This Row],[Date]],"mmmm")</f>
        <v>February</v>
      </c>
      <c r="D92" t="s">
        <v>66</v>
      </c>
      <c r="E92" t="s">
        <v>69</v>
      </c>
      <c r="F92" t="s">
        <v>71</v>
      </c>
      <c r="G92" s="22">
        <v>39949</v>
      </c>
      <c r="H92">
        <v>29</v>
      </c>
      <c r="I92" t="s">
        <v>75</v>
      </c>
      <c r="J92">
        <f>COUNTIF(I:I,AssignmentTable3[[#This Row],[Rep]])</f>
        <v>24</v>
      </c>
    </row>
    <row r="93" spans="1:10" hidden="1" x14ac:dyDescent="0.3">
      <c r="A93">
        <v>10137</v>
      </c>
      <c r="B93" s="14">
        <v>45329</v>
      </c>
      <c r="C93" s="14" t="str">
        <f>TEXT(AssignmentTable3[[#This Row],[Date]],"mmmm")</f>
        <v>February</v>
      </c>
      <c r="D93" t="s">
        <v>61</v>
      </c>
      <c r="E93" t="s">
        <v>70</v>
      </c>
      <c r="F93" t="s">
        <v>71</v>
      </c>
      <c r="G93" s="22">
        <v>37720</v>
      </c>
      <c r="H93">
        <v>23</v>
      </c>
      <c r="I93" t="s">
        <v>76</v>
      </c>
      <c r="J93">
        <f>COUNTIF(I:I,AssignmentTable3[[#This Row],[Rep]])</f>
        <v>26</v>
      </c>
    </row>
    <row r="94" spans="1:10" hidden="1" x14ac:dyDescent="0.3">
      <c r="A94">
        <v>10180</v>
      </c>
      <c r="B94" s="14">
        <v>45317</v>
      </c>
      <c r="C94" s="14" t="str">
        <f>TEXT(AssignmentTable3[[#This Row],[Date]],"mmmm")</f>
        <v>January</v>
      </c>
      <c r="D94" t="s">
        <v>63</v>
      </c>
      <c r="E94" t="s">
        <v>70</v>
      </c>
      <c r="F94" t="s">
        <v>74</v>
      </c>
      <c r="G94" s="22">
        <v>36896</v>
      </c>
      <c r="H94">
        <v>25</v>
      </c>
      <c r="I94" t="s">
        <v>79</v>
      </c>
      <c r="J94">
        <f>COUNTIF(I:I,AssignmentTable3[[#This Row],[Rep]])</f>
        <v>12</v>
      </c>
    </row>
    <row r="95" spans="1:10" hidden="1" x14ac:dyDescent="0.3">
      <c r="A95">
        <v>10161</v>
      </c>
      <c r="B95" s="14">
        <v>45308</v>
      </c>
      <c r="C95" s="14" t="str">
        <f>TEXT(AssignmentTable3[[#This Row],[Date]],"mmmm")</f>
        <v>January</v>
      </c>
      <c r="D95" t="s">
        <v>62</v>
      </c>
      <c r="E95" t="s">
        <v>70</v>
      </c>
      <c r="F95" t="s">
        <v>74</v>
      </c>
      <c r="G95" s="22">
        <v>36566</v>
      </c>
      <c r="H95">
        <v>29</v>
      </c>
      <c r="I95" t="s">
        <v>75</v>
      </c>
      <c r="J95">
        <f>COUNTIF(I:I,AssignmentTable3[[#This Row],[Rep]])</f>
        <v>24</v>
      </c>
    </row>
    <row r="96" spans="1:10" hidden="1" x14ac:dyDescent="0.3">
      <c r="A96">
        <v>10153</v>
      </c>
      <c r="B96" s="14">
        <v>45329</v>
      </c>
      <c r="C96" s="14" t="str">
        <f>TEXT(AssignmentTable3[[#This Row],[Date]],"mmmm")</f>
        <v>February</v>
      </c>
      <c r="D96" t="s">
        <v>65</v>
      </c>
      <c r="E96" t="s">
        <v>70</v>
      </c>
      <c r="F96" t="s">
        <v>72</v>
      </c>
      <c r="G96" s="22">
        <v>30321</v>
      </c>
      <c r="H96">
        <v>17</v>
      </c>
      <c r="I96" t="s">
        <v>76</v>
      </c>
      <c r="J96">
        <f>COUNTIF(I:I,AssignmentTable3[[#This Row],[Rep]])</f>
        <v>26</v>
      </c>
    </row>
    <row r="97" spans="1:10" hidden="1" x14ac:dyDescent="0.3">
      <c r="A97">
        <v>10167</v>
      </c>
      <c r="B97" s="14">
        <v>45324</v>
      </c>
      <c r="C97" s="14" t="str">
        <f>TEXT(AssignmentTable3[[#This Row],[Date]],"mmmm")</f>
        <v>February</v>
      </c>
      <c r="D97" t="s">
        <v>65</v>
      </c>
      <c r="E97" t="s">
        <v>70</v>
      </c>
      <c r="F97" t="s">
        <v>74</v>
      </c>
      <c r="G97" s="22">
        <v>27133</v>
      </c>
      <c r="H97">
        <v>3</v>
      </c>
      <c r="I97" t="s">
        <v>78</v>
      </c>
      <c r="J97">
        <f>COUNTIF(I:I,AssignmentTable3[[#This Row],[Rep]])</f>
        <v>20</v>
      </c>
    </row>
    <row r="98" spans="1:10" hidden="1" x14ac:dyDescent="0.3">
      <c r="A98">
        <v>10199</v>
      </c>
      <c r="B98" s="14">
        <v>45306</v>
      </c>
      <c r="C98" s="14" t="str">
        <f>TEXT(AssignmentTable3[[#This Row],[Date]],"mmmm")</f>
        <v>January</v>
      </c>
      <c r="D98" t="s">
        <v>62</v>
      </c>
      <c r="E98" t="s">
        <v>70</v>
      </c>
      <c r="F98" t="s">
        <v>73</v>
      </c>
      <c r="G98" s="22">
        <v>26828</v>
      </c>
      <c r="H98">
        <v>18</v>
      </c>
      <c r="I98" t="s">
        <v>75</v>
      </c>
      <c r="J98">
        <f>COUNTIF(I:I,AssignmentTable3[[#This Row],[Rep]])</f>
        <v>24</v>
      </c>
    </row>
    <row r="99" spans="1:10" hidden="1" x14ac:dyDescent="0.3">
      <c r="A99">
        <v>10108</v>
      </c>
      <c r="B99" s="14">
        <v>45314</v>
      </c>
      <c r="C99" s="14" t="str">
        <f>TEXT(AssignmentTable3[[#This Row],[Date]],"mmmm")</f>
        <v>January</v>
      </c>
      <c r="D99" t="s">
        <v>63</v>
      </c>
      <c r="E99" t="s">
        <v>70</v>
      </c>
      <c r="F99" t="s">
        <v>74</v>
      </c>
      <c r="G99" s="22">
        <v>23280</v>
      </c>
      <c r="H99">
        <v>24</v>
      </c>
      <c r="I99" t="s">
        <v>78</v>
      </c>
      <c r="J99">
        <f>COUNTIF(I:I,AssignmentTable3[[#This Row],[Rep]])</f>
        <v>20</v>
      </c>
    </row>
    <row r="100" spans="1:10" hidden="1" x14ac:dyDescent="0.3">
      <c r="A100">
        <v>10159</v>
      </c>
      <c r="B100" s="14">
        <v>45321</v>
      </c>
      <c r="C100" s="14" t="str">
        <f>TEXT(AssignmentTable3[[#This Row],[Date]],"mmmm")</f>
        <v>January</v>
      </c>
      <c r="D100" t="s">
        <v>63</v>
      </c>
      <c r="E100" t="s">
        <v>70</v>
      </c>
      <c r="F100" t="s">
        <v>71</v>
      </c>
      <c r="G100" s="22">
        <v>5383</v>
      </c>
      <c r="H100">
        <v>15</v>
      </c>
      <c r="I100" t="s">
        <v>77</v>
      </c>
    </row>
    <row r="101" spans="1:10" hidden="1" x14ac:dyDescent="0.3">
      <c r="A101">
        <v>10168</v>
      </c>
      <c r="B101" s="14">
        <v>45345</v>
      </c>
      <c r="C101" s="14" t="str">
        <f>TEXT(AssignmentTable3[[#This Row],[Date]],"mmmm")</f>
        <v>February</v>
      </c>
      <c r="D101" t="s">
        <v>68</v>
      </c>
      <c r="E101" t="s">
        <v>69</v>
      </c>
      <c r="F101" t="s">
        <v>71</v>
      </c>
      <c r="G101" s="22">
        <v>2358</v>
      </c>
      <c r="H101">
        <v>11</v>
      </c>
      <c r="I101" t="s">
        <v>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Badmus Uthman</cp:lastModifiedBy>
  <dcterms:created xsi:type="dcterms:W3CDTF">2025-11-24T12:57:25Z</dcterms:created>
  <dcterms:modified xsi:type="dcterms:W3CDTF">2026-02-09T22:06:54Z</dcterms:modified>
</cp:coreProperties>
</file>